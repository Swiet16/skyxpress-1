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Perfect computers\Desktop\BOOKIN LIST 2026\"/>
    </mc:Choice>
  </mc:AlternateContent>
  <bookViews>
    <workbookView xWindow="0" yWindow="0" windowWidth="19200" windowHeight="11460"/>
  </bookViews>
  <sheets>
    <sheet name="PROFARMA" sheetId="1" r:id="rId1"/>
    <sheet name="BOOKING " sheetId="3" state="hidden" r:id="rId2"/>
  </sheets>
  <definedNames>
    <definedName name="_xlnm.Print_Area" localSheetId="0">PROFARMA!$B$2:$K$123</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2" i="1" l="1"/>
  <c r="A38" i="3"/>
  <c r="G37" i="3"/>
  <c r="E34" i="3"/>
  <c r="C34" i="3"/>
  <c r="I33" i="3"/>
  <c r="H33" i="3"/>
  <c r="G33" i="3"/>
  <c r="E31" i="3"/>
  <c r="B31" i="3"/>
  <c r="I30" i="3"/>
  <c r="E30" i="3"/>
  <c r="B30" i="3"/>
  <c r="E29" i="3"/>
  <c r="B29" i="3"/>
  <c r="B27" i="3"/>
  <c r="E26" i="3"/>
  <c r="B26" i="3"/>
  <c r="E25" i="3"/>
  <c r="B25" i="3"/>
  <c r="H23" i="3"/>
  <c r="D23" i="3"/>
  <c r="E10" i="3"/>
  <c r="J93" i="1"/>
  <c r="I93" i="1"/>
  <c r="C92" i="1"/>
  <c r="B92" i="1"/>
  <c r="F90" i="1"/>
  <c r="C90" i="1"/>
  <c r="K89" i="1"/>
  <c r="F89" i="1"/>
  <c r="C89" i="1"/>
  <c r="F88" i="1"/>
  <c r="C88" i="1"/>
  <c r="C87" i="1"/>
  <c r="C86" i="1"/>
  <c r="F85" i="1"/>
  <c r="C85" i="1"/>
  <c r="B85" i="1"/>
  <c r="F84" i="1"/>
  <c r="C84" i="1"/>
  <c r="I82" i="1"/>
  <c r="G82" i="1"/>
  <c r="E82" i="1"/>
  <c r="E80" i="1"/>
  <c r="B79" i="1"/>
  <c r="H78" i="1"/>
  <c r="F75" i="1"/>
  <c r="E75" i="1"/>
  <c r="D75" i="1"/>
  <c r="J74" i="1"/>
  <c r="I74" i="1"/>
  <c r="E74" i="1"/>
  <c r="F72" i="1"/>
  <c r="E72" i="1"/>
  <c r="C72" i="1"/>
  <c r="K71" i="1"/>
  <c r="F71" i="1"/>
  <c r="C71" i="1"/>
  <c r="F70" i="1"/>
  <c r="C70" i="1"/>
  <c r="C69" i="1"/>
  <c r="C68" i="1"/>
  <c r="F67" i="1"/>
  <c r="C67" i="1"/>
  <c r="F66" i="1"/>
  <c r="C66" i="1"/>
  <c r="I64" i="1"/>
  <c r="G64" i="1"/>
  <c r="E64" i="1"/>
  <c r="I63" i="1"/>
  <c r="E62" i="1"/>
  <c r="H58" i="1"/>
  <c r="F55" i="1"/>
  <c r="E55" i="1"/>
  <c r="D55" i="1"/>
  <c r="J54" i="1"/>
  <c r="I54" i="1"/>
  <c r="F52" i="1"/>
  <c r="E52" i="1"/>
  <c r="C52" i="1"/>
  <c r="K51" i="1"/>
  <c r="F51" i="1"/>
  <c r="C51" i="1"/>
  <c r="F50" i="1"/>
  <c r="C50" i="1"/>
  <c r="C49" i="1"/>
  <c r="C48" i="1"/>
  <c r="F47" i="1"/>
  <c r="C47" i="1"/>
  <c r="F46" i="1"/>
  <c r="C46" i="1"/>
  <c r="I44" i="1"/>
  <c r="G44" i="1"/>
  <c r="E44" i="1"/>
  <c r="I43" i="1"/>
  <c r="E35" i="1"/>
  <c r="K32" i="1"/>
  <c r="B31" i="1"/>
  <c r="B30" i="1"/>
  <c r="B29" i="1"/>
  <c r="B28" i="1"/>
  <c r="B27" i="1"/>
  <c r="B26" i="1"/>
  <c r="B25" i="1"/>
  <c r="B24" i="1"/>
  <c r="B23" i="1"/>
  <c r="B22" i="1"/>
  <c r="B21" i="1"/>
  <c r="B20" i="1"/>
  <c r="B19" i="1"/>
  <c r="B18" i="1"/>
  <c r="E15" i="1"/>
  <c r="F11" i="1"/>
  <c r="C7" i="1"/>
</calcChain>
</file>

<file path=xl/sharedStrings.xml><?xml version="1.0" encoding="utf-8"?>
<sst xmlns="http://schemas.openxmlformats.org/spreadsheetml/2006/main" count="206" uniqueCount="111">
  <si>
    <t xml:space="preserve"> PERFORMA INVOICE </t>
  </si>
  <si>
    <t xml:space="preserve"> GIFT PERFORMA INVOICE </t>
  </si>
  <si>
    <t>DESTINTION</t>
  </si>
  <si>
    <t>SERVICE</t>
  </si>
  <si>
    <t>REFRANCE NUMBER</t>
  </si>
  <si>
    <t>USA</t>
  </si>
  <si>
    <t>UPS</t>
  </si>
  <si>
    <t>SHIPPER :</t>
  </si>
  <si>
    <t>SAAD HAMEED</t>
  </si>
  <si>
    <t>NAME :</t>
  </si>
  <si>
    <t>JENNIFER JENNIFER</t>
  </si>
  <si>
    <t>COMPANY</t>
  </si>
  <si>
    <t>ADDRESS:</t>
  </si>
  <si>
    <t xml:space="preserve">380 S LAKE AVE 107  CA </t>
  </si>
  <si>
    <t>ADDRESS</t>
  </si>
  <si>
    <t>HOUSE NO 4</t>
  </si>
  <si>
    <t>STREET NO 64</t>
  </si>
  <si>
    <t>LAHORE PAKISTAN</t>
  </si>
  <si>
    <t>CITY:</t>
  </si>
  <si>
    <t xml:space="preserve"> PASADENA</t>
  </si>
  <si>
    <t>PH/MOB</t>
  </si>
  <si>
    <t>0326 9422411</t>
  </si>
  <si>
    <t>COUNTRY:</t>
  </si>
  <si>
    <t>POST / ZONE</t>
  </si>
  <si>
    <t>CNIC/NTN</t>
  </si>
  <si>
    <t>33302-8155758-7</t>
  </si>
  <si>
    <t>0019497714513</t>
  </si>
  <si>
    <t xml:space="preserve">PRODUCT </t>
  </si>
  <si>
    <t>DIM WT</t>
  </si>
  <si>
    <t>PICES</t>
  </si>
  <si>
    <t>WEIGHT</t>
  </si>
  <si>
    <t>BOOKED BY</t>
  </si>
  <si>
    <t>BOOKING DATE</t>
  </si>
  <si>
    <t>SHIPPERS REF</t>
  </si>
  <si>
    <t>176 KG</t>
  </si>
  <si>
    <t>Sky Office</t>
  </si>
  <si>
    <t>WPX</t>
  </si>
  <si>
    <t>SR#</t>
  </si>
  <si>
    <t>CONTANTS DETAILS</t>
  </si>
  <si>
    <t>QTY</t>
  </si>
  <si>
    <t>TOTAL</t>
  </si>
  <si>
    <t xml:space="preserve"> packing material</t>
  </si>
  <si>
    <t>TOTAL  $</t>
  </si>
  <si>
    <t xml:space="preserve">ٹوٹنے والی اشیاہ کی کوئی گارنٹی نہیں ہونگی پارسل گم ہونے کی صورت زیادہ سےزیادہ 100ڈالر کلیم کمپنی ادا کرے گی نیز انشورنس کے بغیر کاغزات کے گم ہونے کی صورت صرف بکنگ کی رقم واپس ہوگی </t>
  </si>
  <si>
    <t>Signature</t>
  </si>
  <si>
    <t>I under sign Undertake full responsibility of my Parcel  #</t>
  </si>
  <si>
    <t>it do not contain any</t>
  </si>
  <si>
    <t>contraband items, Narcotics or all IATA Restricted items, and assure that my parcel contents, and declared value and proof of payment is correct and true.
In case of any misdeclarations or discrepancy and any Duty/Taxes at the destination, if not paid by the consignee, it would be the sole responsibility of under sign.</t>
  </si>
  <si>
    <t>THUMB</t>
  </si>
  <si>
    <t>In case of any misdeclarations or discrepancy and any Duty/Taxes at the destination, if not paid by the consignee, it would be the sole responsibility of under sign.</t>
  </si>
  <si>
    <t>AIRWAY BILL</t>
  </si>
  <si>
    <t>S/O D/O :</t>
  </si>
  <si>
    <t>POST/ ZODE</t>
  </si>
  <si>
    <t>CNIC / NTN</t>
  </si>
  <si>
    <t>THE SENDERS ATTENTION IS DRAWN TO THE IMPORTANT NOTICE OVERLEAF SUBJECT TO THE CONDITIONS ENDORSED AND INCORPORATED O VERLEAF PLEASE ACCEPT ACCEPT THE DOCUMENTS OR GOODS DESCRIBED BELOW FOR DELIVERY.</t>
  </si>
  <si>
    <t>DEMINTION</t>
  </si>
  <si>
    <t>I/WE--------------------------------------------------HERE BY AND UNDERTAKAKE THAT THE ABOVE MENTIONED PARTICULARS ARE TRUE AND CORRECT AS PER MYSTATEMENT AND THERE IS NOTHING DANGEROUS,ANTIQUES,NARCOTICS,LIQUID OR ANY THING LIKELY TO CAUSE DAMAGE,IF ANY THING FOUND I / WE WILL BE FULLY RESPONSIBEL. NOTE :ANY TAXES AT THE DESTINATION WILL BE PAID BY THE CONSIGNEE.</t>
  </si>
  <si>
    <t>Booking</t>
  </si>
  <si>
    <t>Shipper Sign</t>
  </si>
  <si>
    <t>SHIPER CINC</t>
  </si>
  <si>
    <r>
      <rPr>
        <b/>
        <i/>
        <sz val="12"/>
        <rFont val="Calibri"/>
        <charset val="134"/>
        <scheme val="minor"/>
      </rPr>
      <t xml:space="preserve">Contact No. 042 999164619                                 </t>
    </r>
    <r>
      <rPr>
        <b/>
        <i/>
        <u/>
        <sz val="12"/>
        <rFont val="Calibri"/>
        <charset val="134"/>
        <scheme val="minor"/>
      </rPr>
      <t>0326 9422411</t>
    </r>
    <r>
      <rPr>
        <b/>
        <i/>
        <sz val="12"/>
        <rFont val="Calibri"/>
        <charset val="134"/>
        <scheme val="minor"/>
      </rPr>
      <t xml:space="preserve">          E-mail: skyxpress786@gmail.com</t>
    </r>
  </si>
  <si>
    <t xml:space="preserve"> </t>
  </si>
  <si>
    <t>SHIPPER</t>
  </si>
  <si>
    <t>ACTIVE WEIGHT</t>
  </si>
  <si>
    <t>TRACKING NUMBER</t>
  </si>
  <si>
    <t>SHIPPER REF:</t>
  </si>
  <si>
    <t xml:space="preserve">             LHE-PK-SKY XPRESS</t>
  </si>
  <si>
    <t>SIZE &amp; WEIGHT</t>
  </si>
  <si>
    <t>SHIPMENT FREIGHT:</t>
  </si>
  <si>
    <t>Sender Copy,</t>
  </si>
  <si>
    <t>STANDARD TRADING CONDITIONS</t>
  </si>
  <si>
    <t>BOOKING :</t>
  </si>
  <si>
    <t>By tendering goods for transport by SKYXPRESS WORLDWIDE EXPRESS the Consignor agrees to the following conditions:</t>
  </si>
  <si>
    <t>1. Definitions
In these conditions:
"SKYXPRESS" means SKY XPRESS WORLDWIDE EXPRESS (whether acting by itself, through agents or otherwise). "The Consignor" or "the Shipper" means the sender of the Goods tendered for transport (whether on his own account or on behalf of any other person) and whose name shall appear on the Consignment Note as the Consignor.
"Consignee" means the person to whom the goods are consigned.
"Goods" means the goods (or more packages or units) comprised in any one consignment consigned to SKY XPRESS for transport. Goods shall include documents where appropriate.
"Agents" means (a) any entity in any part of the world which is for the time being a member of the same group of companies as SkyXpress; and (b) any entity with whom SKY XPRESS may arrange for or provide services in connection with the transport of a Consignment.
2. Consignment Note
Each Consignment shall be correctly addressed by the Consignor and accompanied by SKY XPRESS's form of Consignment Note which the Consignor shall properly complete and sign prior to dispatch of the Consignment. The Consignor is responsible for the correctness of any information given or declaration made and is liable for the consequences of any false or erroneous declarations or information.
3. Parties and Sub-contracting
(a) Where the Consignor is not the owner of any Consignment or part thereof he shall be deemed to be the authorized agent of the owners. The Consignor accepts these conditions for himself and all other persons on whose behalf he is acting or is deemed to be acting.
(b) SkyXpress may sub-contract all or any part of this contract and may engage an agent or any other person (who may also sub-contract) to fulfill all or any part of this contract.
4. Common Carrier
The company is not a common carrier and accepts goods for transport only on these Conditions.
5. Variations
No waiver or alteration of or addition to these Conditions can be made. No agent or person employed by SKY XPRESS may er, add to, or waive any of these Conditions and where any oral or written instructions differ from or conflict with these Conditions, these Conditions shall prevail and such instructions shall be of no effect and shall not waive, vary or modify these Conditions.</t>
  </si>
  <si>
    <t>6. Liabilities Not Assumed
(a) SKY XPRESS its agents and servants shall not be liable for any loss, costs or expenses suffered or incurred by the Consignor or any other person arising out of or in connection with this contract or the handling, storage or transport or other dealing with any Consignment except where such loss, damage, cost or expenses shall arise as a direct result of any wilful act of neglect or default by SKY XPRESS and then only to the extent of the lesser of (i) £5,000; or (ii) the cost of reshipping it (at the Consignor's choice). If Shipper regards these limits as insufficient it must make a special declaration of value and make its own insurance arrangements.
(b) SKY XPRESS, its agents and servants, shall not be liable under any circumstances for any special or consequential damages or loss. Special or consequential damages or loss shall include (but not be limited to) commercial and financial loss, special reconstruction costs, substituted costs, loss of interest, profit, income, utility, market or business opportunity whether or not SkyXpress, its agents or servants had knowledge that such damages might be incurred.
(c) Where applicable, the rules relating to liability established by the Convention for the Unification of Certain Rules Relating to International Carriage by Air Signed at Warsaw, Poland, on 12 October 1929, and any amendments thereto shall apply to the international carriage of any shipment hereunder insofar as the same is governed thereby, and where applicable by the rules relating established by the Convention on the Contract for the International Carriage of Goods by Road (CMR, Geneva, May 1956 and protocol of 5 July 1978, Geneva) shall apply to the international carriage of any shipment hereunder insofar as the same is governed thereby.                                                    7. Consignment Acceptable for Transport
Sky Xpress reserves the right:
(a) to inspect the Consignment, but this inspection shall not constitute a warranty that a particular item is suitable for carriage.
(b) to refuse at its sole discretion at any time to transport any goods tendered for transport (whether before or after such goods are accepted by SkyXpress for transport).
(c) to reject any goods already accepted for transport if in the opinion of SkyXpress there is a possibility that the continuing transport of such goods may delay the transport of other consignments or cause damage to other consignments, equipment or personnel.
(d) destroy or otherwise deal with any goods in the Consignment where SkyXpress considers (in its sole discretion) that there may be risk to other goods, property, life or health.</t>
  </si>
  <si>
    <t>TRAKING NUMBER</t>
  </si>
  <si>
    <t>REFRANCE #</t>
  </si>
  <si>
    <t>ITALY</t>
  </si>
  <si>
    <t>HASSAN AFZAL</t>
  </si>
  <si>
    <t>SHAKEEL AHMED</t>
  </si>
  <si>
    <t>W/O</t>
  </si>
  <si>
    <t>VIA FERRUCCIO NO 62 SIENA</t>
  </si>
  <si>
    <t>P.O WARAICHANWALA DINGA</t>
  </si>
  <si>
    <t>DISTRICT</t>
  </si>
  <si>
    <t>GUJRAT</t>
  </si>
  <si>
    <t>53011 CASTELLINA IN CHIANTI</t>
  </si>
  <si>
    <t>PAKISTAN</t>
  </si>
  <si>
    <t>POST/ CODE</t>
  </si>
  <si>
    <t>MOB#</t>
  </si>
  <si>
    <t>0092-3411001003</t>
  </si>
  <si>
    <t>0039-3511876017</t>
  </si>
  <si>
    <t>SHIPPER COUNT</t>
  </si>
  <si>
    <t>UPS VIA UAE</t>
  </si>
  <si>
    <t>ON SHIPPER RISK</t>
  </si>
  <si>
    <t>DOX</t>
  </si>
  <si>
    <t>SHIPPER SIGN,                        ON SHIPPER RISK</t>
  </si>
  <si>
    <t>34202-7442937-9</t>
  </si>
  <si>
    <t>Contact No.0319-6261003 Mobile.00923411001003  CALL &amp; WhatsApp     E-mail:dhldinga1@gmail.com</t>
  </si>
  <si>
    <t>TRACKING # AFTER FLIGHT ONLINE</t>
  </si>
  <si>
    <t>REF#</t>
  </si>
  <si>
    <t>W/O :</t>
  </si>
  <si>
    <t>post coad</t>
  </si>
  <si>
    <t>MOB #</t>
  </si>
  <si>
    <t>ECS</t>
  </si>
  <si>
    <t>arfan</t>
  </si>
  <si>
    <t xml:space="preserve">ON SHIPPER RISK </t>
  </si>
  <si>
    <t>0002122100</t>
  </si>
  <si>
    <t>Account Copy</t>
  </si>
  <si>
    <t>Contact No. 042 37255473                    0326 9422411  / 0321 4710522       E-mail: skyxpress786@gmail.com</t>
  </si>
  <si>
    <t>OFFICE</t>
  </si>
  <si>
    <t>Forward Copy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</si>
</sst>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5" formatCode="_(&quot;$&quot;* #,##0.00_);_(&quot;$&quot;* \(#,##0.00\);_(&quot;$&quot;* &quot;-&quot;??_);_(@_)"/>
    <numFmt numFmtId="168" formatCode="[$PKR]\ #,##0"/>
  </numFmts>
  <fonts count="108">
    <font>
      <sz val="11"/>
      <color theme="1"/>
      <name val="Calibri"/>
      <charset val="134"/>
      <scheme val="minor"/>
    </font>
    <font>
      <b/>
      <sz val="48"/>
      <name val="Baskerville Old Face"/>
      <charset val="134"/>
    </font>
    <font>
      <b/>
      <i/>
      <sz val="18"/>
      <name val="Calibri"/>
      <charset val="134"/>
      <scheme val="minor"/>
    </font>
    <font>
      <sz val="24"/>
      <color theme="1"/>
      <name val="Calibri"/>
      <charset val="134"/>
      <scheme val="minor"/>
    </font>
    <font>
      <b/>
      <i/>
      <sz val="10"/>
      <name val="Calibri"/>
      <charset val="134"/>
      <scheme val="minor"/>
    </font>
    <font>
      <b/>
      <i/>
      <sz val="14"/>
      <name val="Calibri"/>
      <charset val="134"/>
      <scheme val="minor"/>
    </font>
    <font>
      <b/>
      <sz val="18"/>
      <name val="Archon Code 39 Barcode"/>
      <charset val="134"/>
    </font>
    <font>
      <b/>
      <i/>
      <sz val="11"/>
      <name val="Calibri"/>
      <charset val="134"/>
      <scheme val="minor"/>
    </font>
    <font>
      <b/>
      <i/>
      <sz val="16"/>
      <name val="Calibri"/>
      <charset val="134"/>
      <scheme val="minor"/>
    </font>
    <font>
      <b/>
      <i/>
      <sz val="12"/>
      <name val="Calibri"/>
      <charset val="134"/>
      <scheme val="minor"/>
    </font>
    <font>
      <b/>
      <i/>
      <sz val="20"/>
      <name val="Calibri"/>
      <charset val="134"/>
      <scheme val="minor"/>
    </font>
    <font>
      <b/>
      <i/>
      <sz val="8"/>
      <name val="Calibri"/>
      <charset val="134"/>
      <scheme val="minor"/>
    </font>
    <font>
      <b/>
      <i/>
      <sz val="28"/>
      <name val="Aharoni"/>
      <charset val="177"/>
    </font>
    <font>
      <b/>
      <sz val="5"/>
      <name val="Calibri"/>
      <charset val="134"/>
      <scheme val="minor"/>
    </font>
    <font>
      <b/>
      <i/>
      <sz val="15"/>
      <name val="Aharoni"/>
      <charset val="177"/>
    </font>
    <font>
      <b/>
      <sz val="8"/>
      <name val="Calibri"/>
      <charset val="134"/>
      <scheme val="minor"/>
    </font>
    <font>
      <b/>
      <i/>
      <sz val="24"/>
      <name val="Calibri"/>
      <charset val="134"/>
      <scheme val="minor"/>
    </font>
    <font>
      <b/>
      <i/>
      <sz val="16"/>
      <color theme="1"/>
      <name val="Aharoni"/>
      <charset val="177"/>
    </font>
    <font>
      <b/>
      <i/>
      <sz val="10"/>
      <color theme="1"/>
      <name val="Calibri"/>
      <charset val="134"/>
      <scheme val="minor"/>
    </font>
    <font>
      <b/>
      <sz val="11"/>
      <name val="Calibri"/>
      <charset val="134"/>
      <scheme val="minor"/>
    </font>
    <font>
      <b/>
      <sz val="6"/>
      <color theme="1"/>
      <name val="Calibri"/>
      <charset val="134"/>
      <scheme val="minor"/>
    </font>
    <font>
      <b/>
      <i/>
      <sz val="11"/>
      <color theme="1"/>
      <name val="Calibri"/>
      <charset val="134"/>
      <scheme val="minor"/>
    </font>
    <font>
      <b/>
      <i/>
      <sz val="20"/>
      <name val="Aharoni"/>
      <charset val="177"/>
    </font>
    <font>
      <b/>
      <i/>
      <sz val="9"/>
      <name val="Agency FB"/>
      <charset val="134"/>
    </font>
    <font>
      <b/>
      <i/>
      <sz val="12"/>
      <color theme="0"/>
      <name val="Calibri"/>
      <charset val="134"/>
      <scheme val="minor"/>
    </font>
    <font>
      <b/>
      <sz val="26"/>
      <name val="Baskerville Old Face"/>
      <charset val="134"/>
    </font>
    <font>
      <u/>
      <sz val="8"/>
      <color theme="10"/>
      <name val="Calibri"/>
      <charset val="134"/>
    </font>
    <font>
      <b/>
      <i/>
      <sz val="18"/>
      <name val="Aharoni"/>
      <charset val="177"/>
    </font>
    <font>
      <b/>
      <i/>
      <sz val="18"/>
      <color theme="1"/>
      <name val="Aharoni"/>
      <charset val="177"/>
    </font>
    <font>
      <sz val="9"/>
      <color theme="1"/>
      <name val="Calibri"/>
      <charset val="134"/>
      <scheme val="minor"/>
    </font>
    <font>
      <b/>
      <i/>
      <sz val="16"/>
      <color theme="1"/>
      <name val="Calibri"/>
      <charset val="134"/>
      <scheme val="minor"/>
    </font>
    <font>
      <b/>
      <sz val="18"/>
      <name val="Aharoni"/>
      <charset val="177"/>
    </font>
    <font>
      <b/>
      <sz val="11"/>
      <color theme="1"/>
      <name val="Calibri"/>
      <charset val="134"/>
      <scheme val="minor"/>
    </font>
    <font>
      <u/>
      <sz val="22"/>
      <color theme="10"/>
      <name val="Calibri"/>
      <charset val="134"/>
    </font>
    <font>
      <b/>
      <i/>
      <sz val="22"/>
      <name val="Calibri"/>
      <charset val="134"/>
      <scheme val="minor"/>
    </font>
    <font>
      <sz val="12"/>
      <color theme="1"/>
      <name val="Calibri"/>
      <charset val="134"/>
      <scheme val="minor"/>
    </font>
    <font>
      <sz val="18"/>
      <color theme="1"/>
      <name val="Edwardian Script ITC"/>
      <charset val="134"/>
    </font>
    <font>
      <sz val="10"/>
      <color theme="1"/>
      <name val="David"/>
      <charset val="177"/>
    </font>
    <font>
      <b/>
      <i/>
      <sz val="24"/>
      <name val="Aharoni"/>
      <charset val="177"/>
    </font>
    <font>
      <b/>
      <i/>
      <sz val="26"/>
      <name val="Calibri"/>
      <charset val="134"/>
      <scheme val="minor"/>
    </font>
    <font>
      <b/>
      <i/>
      <sz val="11"/>
      <color rgb="FFFF0000"/>
      <name val="Algerian"/>
      <charset val="134"/>
    </font>
    <font>
      <b/>
      <i/>
      <sz val="11"/>
      <color theme="2"/>
      <name val="Calibri"/>
      <charset val="134"/>
      <scheme val="minor"/>
    </font>
    <font>
      <b/>
      <i/>
      <sz val="14"/>
      <color theme="1"/>
      <name val="Calibri"/>
      <charset val="134"/>
      <scheme val="minor"/>
    </font>
    <font>
      <b/>
      <i/>
      <sz val="9"/>
      <name val="Calibri"/>
      <charset val="134"/>
      <scheme val="minor"/>
    </font>
    <font>
      <b/>
      <sz val="12"/>
      <name val="Calibri"/>
      <charset val="134"/>
      <scheme val="minor"/>
    </font>
    <font>
      <i/>
      <sz val="11"/>
      <name val="Calibri"/>
      <charset val="134"/>
      <scheme val="minor"/>
    </font>
    <font>
      <b/>
      <i/>
      <sz val="8"/>
      <color theme="1"/>
      <name val="Calibri"/>
      <charset val="134"/>
      <scheme val="minor"/>
    </font>
    <font>
      <b/>
      <i/>
      <sz val="7"/>
      <name val="Calibri"/>
      <charset val="134"/>
      <scheme val="minor"/>
    </font>
    <font>
      <sz val="20"/>
      <color theme="1"/>
      <name val="Bodoni MT"/>
      <charset val="134"/>
    </font>
    <font>
      <b/>
      <sz val="12"/>
      <name val="Arial"/>
      <charset val="134"/>
    </font>
    <font>
      <sz val="8"/>
      <name val="Arial"/>
      <charset val="134"/>
    </font>
    <font>
      <i/>
      <sz val="14"/>
      <color theme="1"/>
      <name val="Calibri"/>
      <charset val="134"/>
      <scheme val="minor"/>
    </font>
    <font>
      <b/>
      <sz val="12"/>
      <color theme="0"/>
      <name val="Arial"/>
      <charset val="134"/>
    </font>
    <font>
      <sz val="10"/>
      <name val="Calibri"/>
      <charset val="134"/>
      <scheme val="minor"/>
    </font>
    <font>
      <b/>
      <sz val="10"/>
      <name val="Calibri"/>
      <charset val="134"/>
      <scheme val="minor"/>
    </font>
    <font>
      <b/>
      <i/>
      <u/>
      <sz val="10"/>
      <name val="Calibri"/>
      <charset val="134"/>
      <scheme val="minor"/>
    </font>
    <font>
      <b/>
      <i/>
      <u/>
      <sz val="11"/>
      <name val="Calibri"/>
      <charset val="134"/>
      <scheme val="minor"/>
    </font>
    <font>
      <b/>
      <i/>
      <u/>
      <sz val="9"/>
      <name val="Calibri"/>
      <charset val="134"/>
      <scheme val="minor"/>
    </font>
    <font>
      <b/>
      <u/>
      <sz val="8"/>
      <name val="Calibri"/>
      <charset val="134"/>
      <scheme val="minor"/>
    </font>
    <font>
      <sz val="7"/>
      <color rgb="FF000000"/>
      <name val="Tahoma"/>
      <charset val="134"/>
    </font>
    <font>
      <b/>
      <i/>
      <sz val="11"/>
      <color rgb="FF7F7F7F"/>
      <name val="Calibri"/>
      <charset val="134"/>
      <scheme val="minor"/>
    </font>
    <font>
      <b/>
      <i/>
      <sz val="13"/>
      <name val="Calibri"/>
      <charset val="134"/>
      <scheme val="minor"/>
    </font>
    <font>
      <b/>
      <i/>
      <sz val="12"/>
      <color theme="1"/>
      <name val="Calibri"/>
      <charset val="134"/>
      <scheme val="minor"/>
    </font>
    <font>
      <b/>
      <i/>
      <u/>
      <sz val="18"/>
      <color rgb="FF002060"/>
      <name val="Calibri"/>
      <charset val="134"/>
      <scheme val="minor"/>
    </font>
    <font>
      <sz val="7"/>
      <color theme="1"/>
      <name val="Calibri"/>
      <charset val="134"/>
      <scheme val="minor"/>
    </font>
    <font>
      <sz val="16"/>
      <color theme="1"/>
      <name val="David"/>
      <charset val="177"/>
    </font>
    <font>
      <b/>
      <sz val="9"/>
      <name val="Cambria"/>
      <charset val="134"/>
      <scheme val="major"/>
    </font>
    <font>
      <b/>
      <sz val="9"/>
      <name val="Calibri"/>
      <charset val="134"/>
      <scheme val="minor"/>
    </font>
    <font>
      <i/>
      <sz val="10"/>
      <name val="Calibri"/>
      <charset val="134"/>
      <scheme val="minor"/>
    </font>
    <font>
      <b/>
      <i/>
      <sz val="9"/>
      <color theme="1"/>
      <name val="Calibri"/>
      <charset val="134"/>
      <scheme val="minor"/>
    </font>
    <font>
      <b/>
      <u/>
      <sz val="18"/>
      <color rgb="FF002060"/>
      <name val="Calibri"/>
      <charset val="134"/>
    </font>
    <font>
      <b/>
      <sz val="12"/>
      <color theme="1"/>
      <name val="David"/>
      <charset val="177"/>
    </font>
    <font>
      <b/>
      <i/>
      <u/>
      <sz val="12"/>
      <name val="Calibri"/>
      <charset val="134"/>
      <scheme val="minor"/>
    </font>
    <font>
      <b/>
      <i/>
      <sz val="18"/>
      <color rgb="FFFF0000"/>
      <name val="Calibri"/>
      <charset val="134"/>
      <scheme val="minor"/>
    </font>
    <font>
      <b/>
      <sz val="16"/>
      <name val="Archon Code 39 Barcode"/>
      <charset val="134"/>
    </font>
    <font>
      <b/>
      <sz val="11"/>
      <name val="Courier New"/>
      <charset val="134"/>
    </font>
    <font>
      <b/>
      <sz val="11"/>
      <color theme="1"/>
      <name val="Courier New"/>
      <charset val="134"/>
    </font>
    <font>
      <b/>
      <sz val="10"/>
      <name val="Courier New"/>
      <charset val="134"/>
    </font>
    <font>
      <b/>
      <i/>
      <sz val="7.5"/>
      <color theme="1"/>
      <name val="Calibri"/>
      <charset val="134"/>
      <scheme val="minor"/>
    </font>
    <font>
      <b/>
      <sz val="12"/>
      <name val="Courier New"/>
      <charset val="134"/>
    </font>
    <font>
      <b/>
      <sz val="12"/>
      <color theme="1"/>
      <name val="Courier New"/>
      <charset val="134"/>
    </font>
    <font>
      <b/>
      <i/>
      <sz val="10"/>
      <name val="Courier New"/>
      <charset val="134"/>
    </font>
    <font>
      <b/>
      <i/>
      <sz val="11"/>
      <color theme="1"/>
      <name val="Courier New"/>
      <charset val="134"/>
    </font>
    <font>
      <b/>
      <sz val="9"/>
      <name val="Courier New"/>
      <charset val="134"/>
    </font>
    <font>
      <b/>
      <sz val="11"/>
      <color rgb="FFFF0000"/>
      <name val="Ebrima"/>
      <charset val="134"/>
    </font>
    <font>
      <b/>
      <sz val="11"/>
      <color theme="1"/>
      <name val="Arial"/>
      <charset val="134"/>
    </font>
    <font>
      <b/>
      <u/>
      <sz val="11"/>
      <color rgb="FFFF0000"/>
      <name val="Ebrima"/>
      <charset val="134"/>
    </font>
    <font>
      <b/>
      <sz val="8"/>
      <color theme="1"/>
      <name val="Courier New"/>
      <charset val="134"/>
    </font>
    <font>
      <b/>
      <i/>
      <sz val="10"/>
      <color theme="1"/>
      <name val="Courier New"/>
      <charset val="134"/>
    </font>
    <font>
      <sz val="14"/>
      <color theme="1"/>
      <name val="Arial Rounded MT Bold"/>
      <charset val="134"/>
    </font>
    <font>
      <b/>
      <sz val="7"/>
      <name val="Calibri"/>
      <charset val="134"/>
      <scheme val="minor"/>
    </font>
    <font>
      <b/>
      <u/>
      <sz val="12"/>
      <color rgb="FFFF0000"/>
      <name val="Calibri"/>
      <charset val="134"/>
      <scheme val="minor"/>
    </font>
    <font>
      <b/>
      <sz val="11"/>
      <name val="Arial Black"/>
      <charset val="134"/>
    </font>
    <font>
      <b/>
      <sz val="20"/>
      <name val="Courier New"/>
      <charset val="134"/>
    </font>
    <font>
      <b/>
      <u/>
      <sz val="20"/>
      <color rgb="FFFF0000"/>
      <name val="Calibri"/>
      <charset val="134"/>
      <scheme val="minor"/>
    </font>
    <font>
      <b/>
      <sz val="14"/>
      <name val="Arial Black"/>
      <charset val="134"/>
    </font>
    <font>
      <b/>
      <sz val="10"/>
      <name val="Archon Code 39 Barcode"/>
      <charset val="134"/>
    </font>
    <font>
      <sz val="48"/>
      <name val="Archon Code 39 Barcode"/>
      <charset val="134"/>
    </font>
    <font>
      <u/>
      <sz val="11"/>
      <color theme="10"/>
      <name val="Calibri"/>
      <charset val="134"/>
    </font>
    <font>
      <i/>
      <sz val="11"/>
      <color rgb="FF7F7F7F"/>
      <name val="Calibri"/>
      <charset val="134"/>
      <scheme val="minor"/>
    </font>
    <font>
      <sz val="11"/>
      <color theme="1"/>
      <name val="Calibri"/>
      <charset val="134"/>
      <scheme val="minor"/>
    </font>
    <font>
      <b/>
      <u/>
      <sz val="16"/>
      <color rgb="FFFF0000"/>
      <name val="Cordia New"/>
      <charset val="134"/>
    </font>
    <font>
      <b/>
      <i/>
      <u/>
      <sz val="11"/>
      <color theme="1"/>
      <name val="Calibri"/>
      <family val="2"/>
      <scheme val="minor"/>
    </font>
    <font>
      <b/>
      <sz val="10"/>
      <name val="Calibri"/>
      <family val="2"/>
      <scheme val="minor"/>
    </font>
    <font>
      <b/>
      <sz val="9"/>
      <name val="Calibri"/>
      <family val="2"/>
      <scheme val="minor"/>
    </font>
    <font>
      <b/>
      <i/>
      <sz val="9"/>
      <color theme="1"/>
      <name val="Calibri"/>
      <family val="2"/>
      <scheme val="minor"/>
    </font>
    <font>
      <b/>
      <i/>
      <u/>
      <sz val="12"/>
      <name val="Calibri"/>
      <family val="2"/>
      <scheme val="minor"/>
    </font>
    <font>
      <b/>
      <i/>
      <sz val="8"/>
      <color rgb="FFFF0000"/>
      <name val="Bodoni MT Black"/>
      <family val="1"/>
    </font>
  </fonts>
  <fills count="6">
    <fill>
      <patternFill patternType="none"/>
    </fill>
    <fill>
      <patternFill patternType="gray125"/>
    </fill>
    <fill>
      <patternFill patternType="solid">
        <fgColor theme="0"/>
        <bgColor indexed="64"/>
      </patternFill>
    </fill>
    <fill>
      <patternFill patternType="solid">
        <fgColor theme="9" tint="0.79995117038483843"/>
        <bgColor indexed="64"/>
      </patternFill>
    </fill>
    <fill>
      <patternFill patternType="solid">
        <fgColor theme="0" tint="-0.249977111117893"/>
        <bgColor indexed="64"/>
      </patternFill>
    </fill>
    <fill>
      <patternFill patternType="solid">
        <fgColor rgb="FFFF0000"/>
        <bgColor indexed="64"/>
      </patternFill>
    </fill>
  </fills>
  <borders count="50">
    <border>
      <left/>
      <right/>
      <top/>
      <bottom/>
      <diagonal/>
    </border>
    <border>
      <left style="medium">
        <color auto="1"/>
      </left>
      <right/>
      <top style="medium">
        <color auto="1"/>
      </top>
      <bottom/>
      <diagonal/>
    </border>
    <border>
      <left/>
      <right/>
      <top style="medium">
        <color auto="1"/>
      </top>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top/>
      <bottom style="thin">
        <color auto="1"/>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right style="thin">
        <color auto="1"/>
      </right>
      <top style="thin">
        <color auto="1"/>
      </top>
      <bottom/>
      <diagonal/>
    </border>
    <border>
      <left style="thin">
        <color auto="1"/>
      </left>
      <right style="thin">
        <color auto="1"/>
      </right>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top style="thin">
        <color auto="1"/>
      </top>
      <bottom/>
      <diagonal/>
    </border>
    <border>
      <left/>
      <right style="medium">
        <color auto="1"/>
      </right>
      <top style="medium">
        <color auto="1"/>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right/>
      <top/>
      <bottom style="medium">
        <color auto="1"/>
      </bottom>
      <diagonal/>
    </border>
    <border>
      <left/>
      <right style="medium">
        <color auto="1"/>
      </right>
      <top/>
      <bottom/>
      <diagonal/>
    </border>
    <border>
      <left style="thin">
        <color auto="1"/>
      </left>
      <right style="thin">
        <color auto="1"/>
      </right>
      <top/>
      <bottom style="medium">
        <color auto="1"/>
      </bottom>
      <diagonal/>
    </border>
    <border>
      <left style="thin">
        <color auto="1"/>
      </left>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diagonal/>
    </border>
    <border>
      <left/>
      <right style="thin">
        <color auto="1"/>
      </right>
      <top/>
      <bottom style="medium">
        <color auto="1"/>
      </bottom>
      <diagonal/>
    </border>
  </borders>
  <cellStyleXfs count="5">
    <xf numFmtId="0" fontId="0" fillId="0" borderId="0"/>
    <xf numFmtId="165" fontId="100" fillId="0" borderId="0" applyFont="0" applyFill="0" applyBorder="0" applyAlignment="0" applyProtection="0"/>
    <xf numFmtId="9" fontId="100" fillId="0" borderId="0" applyFont="0" applyFill="0" applyBorder="0" applyAlignment="0" applyProtection="0"/>
    <xf numFmtId="0" fontId="98" fillId="0" borderId="0" applyNumberFormat="0" applyFill="0" applyBorder="0" applyAlignment="0" applyProtection="0">
      <alignment vertical="top"/>
      <protection locked="0"/>
    </xf>
    <xf numFmtId="0" fontId="99" fillId="0" borderId="0" applyNumberFormat="0" applyFill="0" applyBorder="0" applyAlignment="0" applyProtection="0"/>
  </cellStyleXfs>
  <cellXfs count="489">
    <xf numFmtId="0" fontId="0" fillId="0" borderId="0" xfId="0"/>
    <xf numFmtId="0" fontId="3" fillId="0" borderId="0" xfId="0" applyFont="1" applyFill="1" applyBorder="1" applyAlignment="1"/>
    <xf numFmtId="0" fontId="4" fillId="3" borderId="21" xfId="4" applyFont="1" applyFill="1" applyBorder="1" applyAlignment="1">
      <alignment vertical="top" wrapText="1"/>
    </xf>
    <xf numFmtId="0" fontId="4" fillId="3" borderId="22" xfId="4" applyFont="1" applyFill="1" applyBorder="1" applyAlignment="1">
      <alignment vertical="top" wrapText="1"/>
    </xf>
    <xf numFmtId="0" fontId="11" fillId="3" borderId="22" xfId="4" applyFont="1" applyFill="1" applyBorder="1" applyAlignment="1">
      <alignment vertical="top" wrapText="1"/>
    </xf>
    <xf numFmtId="0" fontId="11" fillId="3" borderId="21" xfId="4" applyFont="1" applyFill="1" applyBorder="1" applyAlignment="1">
      <alignment vertical="top" wrapText="1"/>
    </xf>
    <xf numFmtId="0" fontId="11" fillId="3" borderId="22" xfId="4" applyFont="1" applyFill="1" applyBorder="1" applyAlignment="1">
      <alignment horizontal="center" vertical="justify" wrapText="1"/>
    </xf>
    <xf numFmtId="0" fontId="4" fillId="3" borderId="22" xfId="4" applyFont="1" applyFill="1" applyBorder="1" applyAlignment="1">
      <alignment horizontal="center" vertical="center" wrapText="1"/>
    </xf>
    <xf numFmtId="0" fontId="11" fillId="3" borderId="8" xfId="4" applyFont="1" applyFill="1" applyBorder="1" applyAlignment="1">
      <alignment horizontal="center" vertical="center" wrapText="1"/>
    </xf>
    <xf numFmtId="14" fontId="17" fillId="0" borderId="8" xfId="0" applyNumberFormat="1" applyFont="1" applyBorder="1" applyAlignment="1">
      <alignment horizontal="center" vertical="center"/>
    </xf>
    <xf numFmtId="1" fontId="11" fillId="0" borderId="7" xfId="0" applyNumberFormat="1" applyFont="1" applyBorder="1" applyAlignment="1">
      <alignment horizontal="center" vertical="top" wrapText="1"/>
    </xf>
    <xf numFmtId="0" fontId="24" fillId="0" borderId="32" xfId="4" applyFont="1" applyFill="1" applyBorder="1" applyAlignment="1">
      <alignment horizontal="center" vertical="justify" wrapText="1"/>
    </xf>
    <xf numFmtId="0" fontId="24" fillId="0" borderId="38" xfId="4" applyFont="1" applyFill="1" applyBorder="1" applyAlignment="1">
      <alignment horizontal="center" vertical="justify" wrapText="1"/>
    </xf>
    <xf numFmtId="0" fontId="24" fillId="0" borderId="33" xfId="4" applyFont="1" applyFill="1" applyBorder="1" applyAlignment="1">
      <alignment horizontal="center" vertical="justify" wrapText="1"/>
    </xf>
    <xf numFmtId="0" fontId="21" fillId="0" borderId="6" xfId="0" applyFont="1" applyFill="1" applyBorder="1"/>
    <xf numFmtId="0" fontId="21" fillId="0" borderId="0" xfId="0" applyFont="1" applyFill="1" applyBorder="1"/>
    <xf numFmtId="0" fontId="21" fillId="0" borderId="39" xfId="0" applyFont="1" applyFill="1" applyBorder="1"/>
    <xf numFmtId="0" fontId="4" fillId="3" borderId="21" xfId="4" applyNumberFormat="1" applyFont="1" applyFill="1" applyBorder="1" applyAlignment="1">
      <alignment vertical="top" wrapText="1"/>
    </xf>
    <xf numFmtId="0" fontId="4" fillId="3" borderId="8" xfId="4" applyNumberFormat="1" applyFont="1" applyFill="1" applyBorder="1" applyAlignment="1">
      <alignment vertical="top" wrapText="1"/>
    </xf>
    <xf numFmtId="0" fontId="4" fillId="3" borderId="21" xfId="4" applyNumberFormat="1" applyFont="1" applyFill="1" applyBorder="1" applyAlignment="1">
      <alignment vertical="top"/>
    </xf>
    <xf numFmtId="0" fontId="29" fillId="0" borderId="0" xfId="0" applyFont="1"/>
    <xf numFmtId="0" fontId="11" fillId="3" borderId="21" xfId="4" applyNumberFormat="1" applyFont="1" applyFill="1" applyBorder="1" applyAlignment="1">
      <alignment vertical="top" wrapText="1"/>
    </xf>
    <xf numFmtId="0" fontId="11" fillId="3" borderId="21" xfId="4" applyNumberFormat="1" applyFont="1" applyFill="1" applyBorder="1" applyAlignment="1">
      <alignment vertical="top"/>
    </xf>
    <xf numFmtId="0" fontId="4" fillId="3" borderId="26" xfId="4" applyNumberFormat="1" applyFont="1" applyFill="1" applyBorder="1" applyAlignment="1">
      <alignment vertical="top" wrapText="1"/>
    </xf>
    <xf numFmtId="0" fontId="4" fillId="3" borderId="22" xfId="4" applyNumberFormat="1" applyFont="1" applyFill="1" applyBorder="1" applyAlignment="1">
      <alignment horizontal="center" vertical="top" wrapText="1"/>
    </xf>
    <xf numFmtId="0" fontId="7" fillId="3" borderId="22" xfId="4" applyNumberFormat="1" applyFont="1" applyFill="1" applyBorder="1" applyAlignment="1">
      <alignment vertical="top" wrapText="1"/>
    </xf>
    <xf numFmtId="0" fontId="11" fillId="3" borderId="22" xfId="4" applyNumberFormat="1" applyFont="1" applyFill="1" applyBorder="1" applyAlignment="1">
      <alignment horizontal="center" vertical="top" wrapText="1"/>
    </xf>
    <xf numFmtId="0" fontId="11" fillId="3" borderId="8" xfId="4" applyNumberFormat="1" applyFont="1" applyFill="1" applyBorder="1" applyAlignment="1">
      <alignment horizontal="center" vertical="top" wrapText="1"/>
    </xf>
    <xf numFmtId="14" fontId="18" fillId="0" borderId="26" xfId="0" applyNumberFormat="1" applyFont="1" applyBorder="1" applyAlignment="1">
      <alignment horizontal="center" vertical="justify"/>
    </xf>
    <xf numFmtId="0" fontId="35" fillId="0" borderId="23" xfId="0" applyNumberFormat="1" applyFont="1" applyBorder="1" applyAlignment="1">
      <alignment horizontal="center" vertical="justify"/>
    </xf>
    <xf numFmtId="0" fontId="21" fillId="0" borderId="42" xfId="0" applyNumberFormat="1" applyFont="1" applyBorder="1" applyAlignment="1">
      <alignment vertical="center"/>
    </xf>
    <xf numFmtId="0" fontId="36" fillId="0" borderId="22" xfId="0" applyNumberFormat="1" applyFont="1" applyBorder="1" applyAlignment="1">
      <alignment horizontal="center" vertical="center"/>
    </xf>
    <xf numFmtId="1" fontId="11" fillId="0" borderId="22" xfId="0" applyNumberFormat="1" applyFont="1" applyBorder="1" applyAlignment="1">
      <alignment horizontal="center" vertical="center" wrapText="1"/>
    </xf>
    <xf numFmtId="0" fontId="21" fillId="0" borderId="0" xfId="0" applyFont="1"/>
    <xf numFmtId="0" fontId="21" fillId="0" borderId="0" xfId="0" applyFont="1" applyAlignment="1"/>
    <xf numFmtId="0" fontId="40" fillId="2" borderId="0" xfId="0" applyFont="1" applyFill="1" applyBorder="1" applyAlignment="1"/>
    <xf numFmtId="0" fontId="41" fillId="0" borderId="0" xfId="0" applyFont="1" applyBorder="1" applyAlignment="1">
      <alignment horizontal="right"/>
    </xf>
    <xf numFmtId="0" fontId="41" fillId="0" borderId="0" xfId="0" applyFont="1" applyBorder="1" applyAlignment="1"/>
    <xf numFmtId="0" fontId="21" fillId="0" borderId="0" xfId="0" applyFont="1" applyBorder="1"/>
    <xf numFmtId="0" fontId="21" fillId="0" borderId="0" xfId="0" applyFont="1" applyBorder="1" applyAlignment="1"/>
    <xf numFmtId="0" fontId="4" fillId="4" borderId="21" xfId="4" applyFont="1" applyFill="1" applyBorder="1" applyAlignment="1">
      <alignment wrapText="1"/>
    </xf>
    <xf numFmtId="0" fontId="4" fillId="4" borderId="8" xfId="4" applyFont="1" applyFill="1" applyBorder="1" applyAlignment="1">
      <alignment wrapText="1"/>
    </xf>
    <xf numFmtId="0" fontId="43" fillId="4" borderId="22" xfId="4" applyFont="1" applyFill="1" applyBorder="1" applyAlignment="1">
      <alignment wrapText="1"/>
    </xf>
    <xf numFmtId="0" fontId="11" fillId="0" borderId="24" xfId="4" applyFont="1" applyBorder="1" applyAlignment="1">
      <alignment horizontal="center" vertical="center" wrapText="1"/>
    </xf>
    <xf numFmtId="0" fontId="7" fillId="0" borderId="0" xfId="4" applyFont="1" applyBorder="1" applyAlignment="1">
      <alignment wrapText="1"/>
    </xf>
    <xf numFmtId="0" fontId="43" fillId="4" borderId="21" xfId="4" applyFont="1" applyFill="1" applyBorder="1" applyAlignment="1">
      <alignment wrapText="1"/>
    </xf>
    <xf numFmtId="0" fontId="7" fillId="4" borderId="22" xfId="4" applyFont="1" applyFill="1" applyBorder="1" applyAlignment="1">
      <alignment wrapText="1"/>
    </xf>
    <xf numFmtId="0" fontId="45" fillId="0" borderId="0" xfId="4" applyFont="1" applyBorder="1" applyAlignment="1">
      <alignment wrapText="1"/>
    </xf>
    <xf numFmtId="0" fontId="43" fillId="4" borderId="22" xfId="4" applyFont="1" applyFill="1" applyBorder="1" applyAlignment="1">
      <alignment horizontal="center" wrapText="1"/>
    </xf>
    <xf numFmtId="0" fontId="4" fillId="4" borderId="22" xfId="4" applyFont="1" applyFill="1" applyBorder="1" applyAlignment="1">
      <alignment horizontal="center" wrapText="1"/>
    </xf>
    <xf numFmtId="0" fontId="11" fillId="4" borderId="22" xfId="4" applyFont="1" applyFill="1" applyBorder="1" applyAlignment="1">
      <alignment horizontal="center" vertical="center" wrapText="1"/>
    </xf>
    <xf numFmtId="0" fontId="47" fillId="4" borderId="22" xfId="4" applyFont="1" applyFill="1" applyBorder="1" applyAlignment="1">
      <alignment horizontal="center" vertical="center"/>
    </xf>
    <xf numFmtId="14" fontId="49" fillId="2" borderId="22" xfId="0" applyNumberFormat="1" applyFont="1" applyFill="1" applyBorder="1" applyAlignment="1">
      <alignment horizontal="center" vertical="center"/>
    </xf>
    <xf numFmtId="14" fontId="50" fillId="2" borderId="22" xfId="0" applyNumberFormat="1" applyFont="1" applyFill="1" applyBorder="1" applyAlignment="1">
      <alignment horizontal="center" vertical="center" wrapText="1"/>
    </xf>
    <xf numFmtId="0" fontId="7" fillId="4" borderId="21" xfId="4" applyFont="1" applyFill="1" applyBorder="1" applyAlignment="1">
      <alignment horizontal="center" wrapText="1"/>
    </xf>
    <xf numFmtId="0" fontId="9" fillId="4" borderId="24" xfId="4" applyFont="1" applyFill="1" applyBorder="1" applyAlignment="1">
      <alignment wrapText="1"/>
    </xf>
    <xf numFmtId="165" fontId="7" fillId="4" borderId="24" xfId="1" applyFont="1" applyFill="1" applyBorder="1" applyAlignment="1">
      <alignment wrapText="1"/>
    </xf>
    <xf numFmtId="0" fontId="7" fillId="4" borderId="24" xfId="4" applyFont="1" applyFill="1" applyBorder="1" applyAlignment="1">
      <alignment wrapText="1"/>
    </xf>
    <xf numFmtId="165" fontId="46" fillId="4" borderId="48" xfId="1" applyFont="1" applyFill="1" applyBorder="1" applyAlignment="1">
      <alignment horizontal="center" vertical="center" wrapText="1"/>
    </xf>
    <xf numFmtId="0" fontId="55" fillId="4" borderId="30" xfId="4" applyFont="1" applyFill="1" applyBorder="1" applyAlignment="1">
      <alignment vertical="center" wrapText="1"/>
    </xf>
    <xf numFmtId="0" fontId="55" fillId="4" borderId="14" xfId="4" applyFont="1" applyFill="1" applyBorder="1" applyAlignment="1">
      <alignment vertical="center" wrapText="1"/>
    </xf>
    <xf numFmtId="0" fontId="55" fillId="4" borderId="26" xfId="4" applyFont="1" applyFill="1" applyBorder="1" applyAlignment="1">
      <alignment vertical="center" wrapText="1"/>
    </xf>
    <xf numFmtId="49" fontId="58" fillId="4" borderId="0" xfId="4" applyNumberFormat="1" applyFont="1" applyFill="1" applyBorder="1" applyAlignment="1">
      <alignment horizontal="left" vertical="center" wrapText="1"/>
    </xf>
    <xf numFmtId="0" fontId="59" fillId="0" borderId="0" xfId="0" applyFont="1"/>
    <xf numFmtId="2" fontId="7" fillId="0" borderId="0" xfId="4" applyNumberFormat="1" applyFont="1" applyBorder="1" applyAlignment="1">
      <alignment horizontal="center" wrapText="1"/>
    </xf>
    <xf numFmtId="0" fontId="7" fillId="0" borderId="0" xfId="4" applyFont="1" applyBorder="1" applyAlignment="1">
      <alignment horizontal="center" wrapText="1"/>
    </xf>
    <xf numFmtId="0" fontId="24" fillId="0" borderId="0" xfId="4" applyFont="1" applyFill="1" applyBorder="1" applyAlignment="1">
      <alignment horizontal="center" vertical="justify" wrapText="1"/>
    </xf>
    <xf numFmtId="0" fontId="60" fillId="0" borderId="0" xfId="4" applyFont="1" applyAlignment="1">
      <alignment wrapText="1"/>
    </xf>
    <xf numFmtId="0" fontId="4" fillId="4" borderId="0" xfId="4" applyFont="1" applyFill="1" applyBorder="1" applyAlignment="1">
      <alignment horizontal="center" wrapText="1"/>
    </xf>
    <xf numFmtId="0" fontId="4" fillId="4" borderId="0" xfId="4" applyFont="1" applyFill="1" applyBorder="1" applyAlignment="1">
      <alignment wrapText="1"/>
    </xf>
    <xf numFmtId="49" fontId="11" fillId="0" borderId="0" xfId="4" applyNumberFormat="1" applyFont="1" applyBorder="1" applyAlignment="1">
      <alignment horizontal="center" vertical="center" wrapText="1"/>
    </xf>
    <xf numFmtId="0" fontId="43" fillId="4" borderId="0" xfId="4" applyFont="1" applyFill="1" applyBorder="1" applyAlignment="1"/>
    <xf numFmtId="0" fontId="7" fillId="4" borderId="0" xfId="4" applyFont="1" applyFill="1" applyBorder="1" applyAlignment="1">
      <alignment wrapText="1"/>
    </xf>
    <xf numFmtId="0" fontId="47" fillId="4" borderId="0" xfId="4" applyNumberFormat="1" applyFont="1" applyFill="1" applyBorder="1" applyAlignment="1">
      <alignment horizontal="center" wrapText="1"/>
    </xf>
    <xf numFmtId="0" fontId="11" fillId="4" borderId="0" xfId="4" applyFont="1" applyFill="1" applyBorder="1" applyAlignment="1">
      <alignment horizontal="center" vertical="center" wrapText="1"/>
    </xf>
    <xf numFmtId="0" fontId="47" fillId="4" borderId="0" xfId="4" applyFont="1" applyFill="1" applyBorder="1" applyAlignment="1">
      <alignment horizontal="center" vertical="center"/>
    </xf>
    <xf numFmtId="14" fontId="18" fillId="0" borderId="0" xfId="0" applyNumberFormat="1" applyFont="1" applyBorder="1" applyAlignment="1">
      <alignment horizontal="center" vertical="justify"/>
    </xf>
    <xf numFmtId="14" fontId="64" fillId="0" borderId="0" xfId="0" applyNumberFormat="1" applyFont="1" applyBorder="1" applyAlignment="1">
      <alignment horizontal="center" vertical="justify"/>
    </xf>
    <xf numFmtId="1" fontId="4" fillId="0" borderId="0" xfId="0" applyNumberFormat="1" applyFont="1" applyBorder="1" applyAlignment="1">
      <alignment horizontal="center" vertical="center" wrapText="1"/>
    </xf>
    <xf numFmtId="0" fontId="66" fillId="4" borderId="0" xfId="4" applyNumberFormat="1" applyFont="1" applyFill="1" applyBorder="1" applyAlignment="1">
      <alignment horizontal="center" vertical="center"/>
    </xf>
    <xf numFmtId="0" fontId="4" fillId="0" borderId="0" xfId="4" applyNumberFormat="1" applyFont="1" applyBorder="1" applyAlignment="1">
      <alignment horizontal="center" vertical="center" wrapText="1"/>
    </xf>
    <xf numFmtId="0" fontId="4" fillId="4" borderId="0" xfId="4" applyNumberFormat="1" applyFont="1" applyFill="1" applyBorder="1" applyAlignment="1">
      <alignment wrapText="1"/>
    </xf>
    <xf numFmtId="0" fontId="54" fillId="4" borderId="0" xfId="4" applyNumberFormat="1" applyFont="1" applyFill="1" applyBorder="1" applyAlignment="1"/>
    <xf numFmtId="0" fontId="68" fillId="4" borderId="0" xfId="4" applyNumberFormat="1" applyFont="1" applyFill="1" applyBorder="1" applyAlignment="1">
      <alignment wrapText="1"/>
    </xf>
    <xf numFmtId="0" fontId="4" fillId="4" borderId="0" xfId="4" applyNumberFormat="1" applyFont="1" applyFill="1" applyBorder="1" applyAlignment="1">
      <alignment horizontal="center" wrapText="1"/>
    </xf>
    <xf numFmtId="0" fontId="69" fillId="4" borderId="0" xfId="4" applyFont="1" applyFill="1" applyBorder="1" applyAlignment="1"/>
    <xf numFmtId="0" fontId="7" fillId="4" borderId="0" xfId="4" applyNumberFormat="1" applyFont="1" applyFill="1" applyBorder="1" applyAlignment="1">
      <alignment wrapText="1"/>
    </xf>
    <xf numFmtId="0" fontId="11" fillId="4" borderId="0" xfId="4" applyNumberFormat="1" applyFont="1" applyFill="1" applyBorder="1" applyAlignment="1">
      <alignment horizontal="center" vertical="center" wrapText="1"/>
    </xf>
    <xf numFmtId="0" fontId="47" fillId="4" borderId="0" xfId="4" applyNumberFormat="1" applyFont="1" applyFill="1" applyBorder="1" applyAlignment="1">
      <alignment horizontal="center" vertical="center"/>
    </xf>
    <xf numFmtId="0" fontId="20" fillId="0" borderId="0" xfId="0" applyNumberFormat="1" applyFont="1" applyBorder="1" applyAlignment="1">
      <alignment horizontal="center" vertical="justify"/>
    </xf>
    <xf numFmtId="0" fontId="71" fillId="0" borderId="0" xfId="0" applyNumberFormat="1" applyFont="1" applyBorder="1" applyAlignment="1">
      <alignment vertical="center"/>
    </xf>
    <xf numFmtId="1" fontId="43" fillId="0" borderId="0" xfId="0" applyNumberFormat="1" applyFont="1" applyBorder="1" applyAlignment="1">
      <alignment horizontal="center" vertical="center" wrapText="1"/>
    </xf>
    <xf numFmtId="0" fontId="18" fillId="4" borderId="0" xfId="4" applyFont="1" applyFill="1" applyBorder="1" applyAlignment="1">
      <alignment wrapText="1"/>
    </xf>
    <xf numFmtId="0" fontId="46" fillId="4" borderId="0" xfId="4" applyFont="1" applyFill="1" applyBorder="1" applyAlignment="1">
      <alignment wrapText="1"/>
    </xf>
    <xf numFmtId="0" fontId="69" fillId="4" borderId="0" xfId="4" applyFont="1" applyFill="1" applyBorder="1" applyAlignment="1">
      <alignment wrapText="1"/>
    </xf>
    <xf numFmtId="0" fontId="81" fillId="0" borderId="0" xfId="4" applyFont="1" applyBorder="1" applyAlignment="1">
      <alignment horizontal="center" vertical="center" wrapText="1"/>
    </xf>
    <xf numFmtId="0" fontId="7" fillId="4" borderId="0" xfId="4" applyFont="1" applyFill="1" applyBorder="1" applyAlignment="1">
      <alignment horizontal="center" wrapText="1"/>
    </xf>
    <xf numFmtId="0" fontId="46" fillId="4" borderId="0" xfId="4" applyFont="1" applyFill="1" applyBorder="1" applyAlignment="1">
      <alignment horizontal="center"/>
    </xf>
    <xf numFmtId="1" fontId="83" fillId="4" borderId="0" xfId="4" applyNumberFormat="1" applyFont="1" applyFill="1" applyBorder="1" applyAlignment="1">
      <alignment horizontal="center"/>
    </xf>
    <xf numFmtId="0" fontId="85" fillId="4" borderId="0" xfId="0" applyFont="1" applyFill="1" applyBorder="1" applyAlignment="1"/>
    <xf numFmtId="0" fontId="87" fillId="4" borderId="0" xfId="0" applyFont="1" applyFill="1" applyBorder="1" applyAlignment="1">
      <alignment horizontal="center" vertical="center" wrapText="1"/>
    </xf>
    <xf numFmtId="14" fontId="88" fillId="4" borderId="0" xfId="0" applyNumberFormat="1" applyFont="1" applyFill="1" applyBorder="1" applyAlignment="1">
      <alignment horizontal="center" vertical="top"/>
    </xf>
    <xf numFmtId="0" fontId="90" fillId="4" borderId="0" xfId="4" applyNumberFormat="1" applyFont="1" applyFill="1" applyBorder="1" applyAlignment="1">
      <alignment horizontal="center" wrapText="1"/>
    </xf>
    <xf numFmtId="0" fontId="11" fillId="4" borderId="0" xfId="4" applyFont="1" applyFill="1" applyBorder="1" applyAlignment="1">
      <alignment horizontal="center" vertical="center"/>
    </xf>
    <xf numFmtId="0" fontId="43" fillId="4" borderId="0" xfId="4" applyFont="1" applyFill="1" applyBorder="1" applyAlignment="1">
      <alignment horizontal="center" vertical="center"/>
    </xf>
    <xf numFmtId="0" fontId="95" fillId="3" borderId="0" xfId="4" applyFont="1" applyFill="1" applyBorder="1" applyAlignment="1">
      <alignment vertical="center" wrapText="1"/>
    </xf>
    <xf numFmtId="0" fontId="96" fillId="3" borderId="0" xfId="4" applyFont="1" applyFill="1" applyBorder="1" applyAlignment="1">
      <alignment vertical="center"/>
    </xf>
    <xf numFmtId="0" fontId="97" fillId="3" borderId="0" xfId="4" applyFont="1" applyFill="1" applyBorder="1" applyAlignment="1"/>
    <xf numFmtId="0" fontId="2" fillId="0" borderId="46" xfId="4" applyFont="1" applyBorder="1" applyAlignment="1">
      <alignment horizontal="center" vertical="justify" wrapText="1"/>
    </xf>
    <xf numFmtId="0" fontId="2" fillId="0" borderId="47" xfId="4" applyFont="1" applyBorder="1" applyAlignment="1">
      <alignment horizontal="center" vertical="justify" wrapText="1"/>
    </xf>
    <xf numFmtId="0" fontId="4" fillId="4" borderId="22" xfId="4" applyFont="1" applyFill="1" applyBorder="1" applyAlignment="1">
      <alignment horizontal="center" vertical="center" wrapText="1"/>
    </xf>
    <xf numFmtId="0" fontId="4" fillId="4" borderId="24" xfId="4" applyFont="1" applyFill="1" applyBorder="1" applyAlignment="1">
      <alignment horizontal="center" vertical="center" wrapText="1"/>
    </xf>
    <xf numFmtId="0" fontId="43" fillId="0" borderId="22" xfId="4" applyFont="1" applyBorder="1" applyAlignment="1">
      <alignment horizontal="center" vertical="center" wrapText="1"/>
    </xf>
    <xf numFmtId="9" fontId="7" fillId="0" borderId="7" xfId="2" applyFont="1" applyBorder="1" applyAlignment="1">
      <alignment horizontal="left" vertical="center" wrapText="1"/>
    </xf>
    <xf numFmtId="9" fontId="21" fillId="0" borderId="9" xfId="2" applyFont="1" applyBorder="1" applyAlignment="1">
      <alignment horizontal="left" vertical="center"/>
    </xf>
    <xf numFmtId="9" fontId="21" fillId="0" borderId="10" xfId="2" applyFont="1" applyBorder="1" applyAlignment="1">
      <alignment horizontal="left" vertical="center"/>
    </xf>
    <xf numFmtId="0" fontId="4" fillId="0" borderId="22" xfId="4" applyFont="1" applyBorder="1" applyAlignment="1">
      <alignment horizontal="center" vertical="center" wrapText="1"/>
    </xf>
    <xf numFmtId="0" fontId="4" fillId="0" borderId="22" xfId="4" applyFont="1" applyBorder="1" applyAlignment="1">
      <alignment horizontal="center" wrapText="1"/>
    </xf>
    <xf numFmtId="0" fontId="7" fillId="0" borderId="7" xfId="4" applyFont="1" applyBorder="1" applyAlignment="1">
      <alignment horizontal="left" vertical="center" wrapText="1"/>
    </xf>
    <xf numFmtId="0" fontId="21" fillId="0" borderId="9" xfId="0" applyFont="1" applyBorder="1" applyAlignment="1">
      <alignment horizontal="left" vertical="center"/>
    </xf>
    <xf numFmtId="0" fontId="21" fillId="0" borderId="10" xfId="0" applyFont="1" applyBorder="1" applyAlignment="1">
      <alignment horizontal="left" vertical="center"/>
    </xf>
    <xf numFmtId="0" fontId="8" fillId="0" borderId="7" xfId="4" applyFont="1" applyBorder="1" applyAlignment="1">
      <alignment horizontal="center" vertical="center" wrapText="1"/>
    </xf>
    <xf numFmtId="0" fontId="8" fillId="0" borderId="9" xfId="4" applyFont="1" applyBorder="1" applyAlignment="1">
      <alignment horizontal="center" vertical="center" wrapText="1"/>
    </xf>
    <xf numFmtId="0" fontId="8" fillId="0" borderId="8" xfId="4" applyFont="1" applyBorder="1" applyAlignment="1">
      <alignment horizontal="center" vertical="center" wrapText="1"/>
    </xf>
    <xf numFmtId="0" fontId="4" fillId="4" borderId="7" xfId="4" applyFont="1" applyFill="1" applyBorder="1" applyAlignment="1">
      <alignment horizontal="center" vertical="center" wrapText="1"/>
    </xf>
    <xf numFmtId="0" fontId="4" fillId="4" borderId="8" xfId="4" applyFont="1" applyFill="1" applyBorder="1" applyAlignment="1">
      <alignment horizontal="center" vertical="center" wrapText="1"/>
    </xf>
    <xf numFmtId="49" fontId="7" fillId="0" borderId="22" xfId="4" applyNumberFormat="1" applyFont="1" applyBorder="1" applyAlignment="1">
      <alignment horizontal="center" vertical="center" wrapText="1"/>
    </xf>
    <xf numFmtId="49" fontId="7" fillId="0" borderId="9" xfId="4" applyNumberFormat="1" applyFont="1" applyBorder="1" applyAlignment="1">
      <alignment horizontal="center" vertical="center" wrapText="1"/>
    </xf>
    <xf numFmtId="49" fontId="7" fillId="0" borderId="10" xfId="4" applyNumberFormat="1" applyFont="1" applyBorder="1" applyAlignment="1">
      <alignment horizontal="center" vertical="center" wrapText="1"/>
    </xf>
    <xf numFmtId="9" fontId="13" fillId="4" borderId="34" xfId="2" applyFont="1" applyFill="1" applyBorder="1" applyAlignment="1">
      <alignment horizontal="left" vertical="justify" wrapText="1"/>
    </xf>
    <xf numFmtId="0" fontId="32" fillId="4" borderId="9" xfId="0" applyFont="1" applyFill="1" applyBorder="1"/>
    <xf numFmtId="0" fontId="32" fillId="4" borderId="8" xfId="0" applyFont="1" applyFill="1" applyBorder="1"/>
    <xf numFmtId="0" fontId="4" fillId="4" borderId="7" xfId="4" applyFont="1" applyFill="1" applyBorder="1" applyAlignment="1">
      <alignment horizontal="center" wrapText="1"/>
    </xf>
    <xf numFmtId="0" fontId="21" fillId="4" borderId="10" xfId="0" applyFont="1" applyFill="1" applyBorder="1" applyAlignment="1">
      <alignment horizontal="center"/>
    </xf>
    <xf numFmtId="0" fontId="11" fillId="4" borderId="34" xfId="4" applyFont="1" applyFill="1" applyBorder="1" applyAlignment="1">
      <alignment horizontal="center" vertical="center" wrapText="1"/>
    </xf>
    <xf numFmtId="0" fontId="46" fillId="4" borderId="8" xfId="0" applyFont="1" applyFill="1" applyBorder="1" applyAlignment="1">
      <alignment horizontal="center" vertical="center"/>
    </xf>
    <xf numFmtId="0" fontId="48" fillId="0" borderId="34" xfId="0" applyFont="1" applyBorder="1" applyAlignment="1">
      <alignment horizontal="center" vertical="center"/>
    </xf>
    <xf numFmtId="0" fontId="48" fillId="0" borderId="8" xfId="0" applyFont="1" applyBorder="1" applyAlignment="1">
      <alignment horizontal="center" vertical="center"/>
    </xf>
    <xf numFmtId="0" fontId="51" fillId="0" borderId="7" xfId="0" applyFont="1" applyBorder="1" applyAlignment="1">
      <alignment horizontal="center" vertical="center"/>
    </xf>
    <xf numFmtId="0" fontId="51" fillId="0" borderId="8" xfId="0" applyFont="1" applyBorder="1" applyAlignment="1">
      <alignment horizontal="center" vertical="center"/>
    </xf>
    <xf numFmtId="0" fontId="7" fillId="4" borderId="7" xfId="4" applyFont="1" applyFill="1" applyBorder="1" applyAlignment="1">
      <alignment horizontal="center" wrapText="1"/>
    </xf>
    <xf numFmtId="0" fontId="7" fillId="4" borderId="17" xfId="4" applyFont="1" applyFill="1" applyBorder="1" applyAlignment="1">
      <alignment horizontal="center" wrapText="1"/>
    </xf>
    <xf numFmtId="0" fontId="7" fillId="4" borderId="9" xfId="4" applyFont="1" applyFill="1" applyBorder="1" applyAlignment="1">
      <alignment horizontal="center" wrapText="1"/>
    </xf>
    <xf numFmtId="0" fontId="7" fillId="4" borderId="8" xfId="4" applyFont="1" applyFill="1" applyBorder="1" applyAlignment="1">
      <alignment horizontal="center" wrapText="1"/>
    </xf>
    <xf numFmtId="0" fontId="44" fillId="0" borderId="7" xfId="4" applyFont="1" applyBorder="1" applyAlignment="1">
      <alignment horizontal="center" wrapText="1"/>
    </xf>
    <xf numFmtId="0" fontId="44" fillId="0" borderId="9" xfId="4" applyFont="1" applyBorder="1" applyAlignment="1">
      <alignment horizontal="center" wrapText="1"/>
    </xf>
    <xf numFmtId="0" fontId="44" fillId="0" borderId="8" xfId="4" applyFont="1" applyBorder="1" applyAlignment="1">
      <alignment horizontal="center" wrapText="1"/>
    </xf>
    <xf numFmtId="0" fontId="9" fillId="0" borderId="22" xfId="4" applyFont="1" applyBorder="1" applyAlignment="1">
      <alignment horizontal="center" wrapText="1"/>
    </xf>
    <xf numFmtId="0" fontId="9" fillId="0" borderId="7" xfId="4" applyFont="1" applyBorder="1" applyAlignment="1">
      <alignment horizontal="center" wrapText="1"/>
    </xf>
    <xf numFmtId="0" fontId="9" fillId="0" borderId="9" xfId="4" applyFont="1" applyBorder="1" applyAlignment="1">
      <alignment horizontal="center" wrapText="1"/>
    </xf>
    <xf numFmtId="0" fontId="9" fillId="0" borderId="8" xfId="4" applyFont="1" applyBorder="1" applyAlignment="1">
      <alignment horizontal="center" wrapText="1"/>
    </xf>
    <xf numFmtId="14" fontId="52" fillId="2" borderId="22" xfId="0" applyNumberFormat="1" applyFont="1" applyFill="1" applyBorder="1" applyAlignment="1">
      <alignment horizontal="center" vertical="center"/>
    </xf>
    <xf numFmtId="0" fontId="9" fillId="0" borderId="18" xfId="4" applyFont="1" applyBorder="1" applyAlignment="1">
      <alignment horizontal="center" wrapText="1"/>
    </xf>
    <xf numFmtId="0" fontId="9" fillId="0" borderId="17" xfId="4" applyFont="1" applyBorder="1" applyAlignment="1">
      <alignment horizontal="center" wrapText="1"/>
    </xf>
    <xf numFmtId="0" fontId="9" fillId="0" borderId="19" xfId="4" applyFont="1" applyBorder="1" applyAlignment="1">
      <alignment horizontal="center" wrapText="1"/>
    </xf>
    <xf numFmtId="0" fontId="53" fillId="0" borderId="30" xfId="4" applyFont="1" applyBorder="1" applyAlignment="1">
      <alignment horizontal="center" vertical="justify" wrapText="1"/>
    </xf>
    <xf numFmtId="0" fontId="53" fillId="0" borderId="14" xfId="4" applyFont="1" applyBorder="1" applyAlignment="1">
      <alignment horizontal="center" vertical="justify" wrapText="1"/>
    </xf>
    <xf numFmtId="0" fontId="53" fillId="0" borderId="26" xfId="4" applyFont="1" applyBorder="1" applyAlignment="1">
      <alignment horizontal="center" vertical="justify" wrapText="1"/>
    </xf>
    <xf numFmtId="0" fontId="21" fillId="4" borderId="14" xfId="0" applyFont="1" applyFill="1" applyBorder="1" applyAlignment="1">
      <alignment horizontal="center"/>
    </xf>
    <xf numFmtId="0" fontId="21" fillId="4" borderId="26" xfId="0" applyFont="1" applyFill="1" applyBorder="1" applyAlignment="1">
      <alignment horizontal="center"/>
    </xf>
    <xf numFmtId="0" fontId="57" fillId="4" borderId="6" xfId="4" applyFont="1" applyFill="1" applyBorder="1" applyAlignment="1">
      <alignment horizontal="right" vertical="center" wrapText="1"/>
    </xf>
    <xf numFmtId="0" fontId="57" fillId="4" borderId="0" xfId="4" applyFont="1" applyFill="1" applyBorder="1" applyAlignment="1">
      <alignment horizontal="right" vertical="center" wrapText="1"/>
    </xf>
    <xf numFmtId="0" fontId="57" fillId="4" borderId="0" xfId="4" applyFont="1" applyFill="1" applyBorder="1" applyAlignment="1">
      <alignment horizontal="left" vertical="center" wrapText="1"/>
    </xf>
    <xf numFmtId="0" fontId="57" fillId="4" borderId="12" xfId="4" applyFont="1" applyFill="1" applyBorder="1" applyAlignment="1">
      <alignment horizontal="left" vertical="center" wrapText="1"/>
    </xf>
    <xf numFmtId="0" fontId="2" fillId="0" borderId="0" xfId="4" applyFont="1" applyBorder="1" applyAlignment="1">
      <alignment horizontal="center" vertical="center" wrapText="1"/>
    </xf>
    <xf numFmtId="0" fontId="4" fillId="4" borderId="0" xfId="4" applyFont="1" applyFill="1" applyBorder="1" applyAlignment="1">
      <alignment horizontal="center" wrapText="1"/>
    </xf>
    <xf numFmtId="0" fontId="4" fillId="0" borderId="0" xfId="4" applyFont="1" applyBorder="1" applyAlignment="1">
      <alignment horizontal="center" wrapText="1"/>
    </xf>
    <xf numFmtId="9" fontId="9" fillId="0" borderId="0" xfId="2" applyFont="1" applyBorder="1" applyAlignment="1">
      <alignment horizontal="left" vertical="center" wrapText="1"/>
    </xf>
    <xf numFmtId="0" fontId="62" fillId="0" borderId="0" xfId="0" applyFont="1" applyBorder="1" applyAlignment="1">
      <alignment horizontal="left" vertical="center"/>
    </xf>
    <xf numFmtId="1" fontId="9" fillId="0" borderId="0" xfId="2" applyNumberFormat="1" applyFont="1" applyBorder="1" applyAlignment="1">
      <alignment horizontal="left" vertical="center" wrapText="1"/>
    </xf>
    <xf numFmtId="1" fontId="62" fillId="0" borderId="0" xfId="0" applyNumberFormat="1" applyFont="1" applyBorder="1" applyAlignment="1">
      <alignment horizontal="left" vertical="center"/>
    </xf>
    <xf numFmtId="49" fontId="4" fillId="0" borderId="0" xfId="4" applyNumberFormat="1" applyFont="1" applyBorder="1" applyAlignment="1">
      <alignment horizontal="center" vertical="center" wrapText="1"/>
    </xf>
    <xf numFmtId="0" fontId="4" fillId="0" borderId="0" xfId="4" applyFont="1" applyBorder="1" applyAlignment="1">
      <alignment horizontal="center" vertical="center" wrapText="1"/>
    </xf>
    <xf numFmtId="49" fontId="21" fillId="0" borderId="0" xfId="0" applyNumberFormat="1" applyFont="1" applyBorder="1" applyAlignment="1">
      <alignment horizontal="center" vertical="center"/>
    </xf>
    <xf numFmtId="0" fontId="21" fillId="0" borderId="0" xfId="0" applyFont="1" applyBorder="1" applyAlignment="1">
      <alignment horizontal="center" vertical="center"/>
    </xf>
    <xf numFmtId="9" fontId="13" fillId="4" borderId="0" xfId="2" applyFont="1" applyFill="1" applyBorder="1" applyAlignment="1">
      <alignment horizontal="left" vertical="justify" wrapText="1"/>
    </xf>
    <xf numFmtId="0" fontId="32" fillId="4" borderId="0" xfId="0" applyFont="1" applyFill="1" applyBorder="1"/>
    <xf numFmtId="0" fontId="21" fillId="4" borderId="0" xfId="0" applyFont="1" applyFill="1" applyBorder="1" applyAlignment="1">
      <alignment horizontal="center"/>
    </xf>
    <xf numFmtId="0" fontId="18" fillId="0" borderId="0" xfId="0" applyFont="1" applyBorder="1" applyAlignment="1">
      <alignment horizontal="center" vertical="center"/>
    </xf>
    <xf numFmtId="0" fontId="19" fillId="0" borderId="0" xfId="4" applyNumberFormat="1" applyFont="1" applyBorder="1" applyAlignment="1">
      <alignment horizontal="center" vertical="justify" wrapText="1"/>
    </xf>
    <xf numFmtId="0" fontId="21" fillId="0" borderId="0" xfId="0" applyNumberFormat="1" applyFont="1" applyBorder="1" applyAlignment="1">
      <alignment horizontal="center"/>
    </xf>
    <xf numFmtId="0" fontId="20" fillId="4" borderId="0" xfId="0" applyFont="1" applyFill="1" applyBorder="1" applyAlignment="1">
      <alignment horizontal="left" vertical="justify"/>
    </xf>
    <xf numFmtId="0" fontId="65" fillId="0" borderId="0" xfId="0" applyFont="1" applyBorder="1" applyAlignment="1">
      <alignment horizontal="left" vertical="center"/>
    </xf>
    <xf numFmtId="1" fontId="7" fillId="0" borderId="0" xfId="0" applyNumberFormat="1" applyFont="1" applyBorder="1" applyAlignment="1">
      <alignment horizontal="center" vertical="center"/>
    </xf>
    <xf numFmtId="0" fontId="7" fillId="0" borderId="0" xfId="0" applyFont="1" applyBorder="1" applyAlignment="1">
      <alignment horizontal="center" vertical="center"/>
    </xf>
    <xf numFmtId="0" fontId="9" fillId="4" borderId="0" xfId="4" applyFont="1" applyFill="1" applyBorder="1" applyAlignment="1">
      <alignment horizontal="center" vertical="center" wrapText="1"/>
    </xf>
    <xf numFmtId="0" fontId="2" fillId="0" borderId="0" xfId="4" applyNumberFormat="1" applyFont="1" applyBorder="1" applyAlignment="1">
      <alignment horizontal="center" vertical="justify" wrapText="1"/>
    </xf>
    <xf numFmtId="0" fontId="4" fillId="4" borderId="0" xfId="4" applyNumberFormat="1" applyFont="1" applyFill="1" applyBorder="1" applyAlignment="1">
      <alignment horizontal="center" vertical="center" wrapText="1"/>
    </xf>
    <xf numFmtId="0" fontId="4" fillId="0" borderId="0" xfId="4" applyNumberFormat="1" applyFont="1" applyBorder="1" applyAlignment="1">
      <alignment horizontal="center" vertical="center" wrapText="1"/>
    </xf>
    <xf numFmtId="0" fontId="9" fillId="0" borderId="0" xfId="2" applyNumberFormat="1" applyFont="1" applyBorder="1" applyAlignment="1">
      <alignment vertical="center" wrapText="1"/>
    </xf>
    <xf numFmtId="0" fontId="7" fillId="0" borderId="0" xfId="4" applyNumberFormat="1" applyFont="1" applyBorder="1" applyAlignment="1">
      <alignment horizontal="center" vertical="center" wrapText="1"/>
    </xf>
    <xf numFmtId="0" fontId="9" fillId="0" borderId="0" xfId="4" applyNumberFormat="1" applyFont="1" applyBorder="1" applyAlignment="1">
      <alignment horizontal="center" vertical="center" wrapText="1"/>
    </xf>
    <xf numFmtId="0" fontId="4" fillId="4" borderId="0" xfId="4" applyNumberFormat="1" applyFont="1" applyFill="1" applyBorder="1" applyAlignment="1">
      <alignment horizontal="center" wrapText="1"/>
    </xf>
    <xf numFmtId="0" fontId="13" fillId="4" borderId="0" xfId="2" applyNumberFormat="1" applyFont="1" applyFill="1" applyBorder="1" applyAlignment="1">
      <alignment horizontal="left" vertical="justify" wrapText="1"/>
    </xf>
    <xf numFmtId="0" fontId="43" fillId="4" borderId="0" xfId="4" applyNumberFormat="1" applyFont="1" applyFill="1" applyBorder="1" applyAlignment="1">
      <alignment horizontal="center" wrapText="1"/>
    </xf>
    <xf numFmtId="0" fontId="18" fillId="0" borderId="0" xfId="0" applyNumberFormat="1" applyFont="1" applyBorder="1" applyAlignment="1">
      <alignment horizontal="center" vertical="center"/>
    </xf>
    <xf numFmtId="0" fontId="20" fillId="4" borderId="0" xfId="0" applyNumberFormat="1" applyFont="1" applyFill="1" applyBorder="1" applyAlignment="1">
      <alignment horizontal="left" vertical="justify"/>
    </xf>
    <xf numFmtId="0" fontId="7" fillId="0" borderId="0" xfId="0" applyNumberFormat="1" applyFont="1" applyBorder="1" applyAlignment="1">
      <alignment horizontal="center" vertical="center"/>
    </xf>
    <xf numFmtId="0" fontId="72" fillId="4" borderId="0" xfId="4" applyNumberFormat="1" applyFont="1" applyFill="1" applyBorder="1" applyAlignment="1">
      <alignment horizontal="center" vertical="center" wrapText="1"/>
    </xf>
    <xf numFmtId="0" fontId="73" fillId="0" borderId="0" xfId="4" applyFont="1" applyBorder="1" applyAlignment="1">
      <alignment horizontal="center" wrapText="1"/>
    </xf>
    <xf numFmtId="0" fontId="7" fillId="2" borderId="0" xfId="4" applyFont="1" applyFill="1" applyBorder="1" applyAlignment="1">
      <alignment horizontal="center" vertical="justify" wrapText="1"/>
    </xf>
    <xf numFmtId="0" fontId="75" fillId="0" borderId="0" xfId="4" applyFont="1" applyBorder="1" applyAlignment="1">
      <alignment horizontal="left" wrapText="1"/>
    </xf>
    <xf numFmtId="9" fontId="75" fillId="0" borderId="0" xfId="2" applyFont="1" applyBorder="1" applyAlignment="1">
      <alignment vertical="center" wrapText="1"/>
    </xf>
    <xf numFmtId="0" fontId="76" fillId="0" borderId="0" xfId="0" applyFont="1" applyBorder="1" applyAlignment="1">
      <alignment vertical="center"/>
    </xf>
    <xf numFmtId="0" fontId="77" fillId="0" borderId="0" xfId="4" applyFont="1" applyBorder="1" applyAlignment="1">
      <alignment horizontal="left" vertical="center" wrapText="1"/>
    </xf>
    <xf numFmtId="0" fontId="75" fillId="0" borderId="0" xfId="4" applyFont="1" applyBorder="1" applyAlignment="1">
      <alignment horizontal="left" vertical="center" wrapText="1"/>
    </xf>
    <xf numFmtId="0" fontId="75" fillId="0" borderId="0" xfId="4" applyFont="1" applyBorder="1" applyAlignment="1">
      <alignment horizontal="left" vertical="center"/>
    </xf>
    <xf numFmtId="0" fontId="79" fillId="0" borderId="0" xfId="2" applyNumberFormat="1" applyFont="1" applyBorder="1" applyAlignment="1">
      <alignment vertical="center" wrapText="1"/>
    </xf>
    <xf numFmtId="0" fontId="80" fillId="0" borderId="0" xfId="0" applyNumberFormat="1" applyFont="1" applyBorder="1" applyAlignment="1">
      <alignment vertical="center"/>
    </xf>
    <xf numFmtId="0" fontId="79" fillId="0" borderId="0" xfId="4" applyFont="1" applyBorder="1" applyAlignment="1">
      <alignment horizontal="left" wrapText="1"/>
    </xf>
    <xf numFmtId="0" fontId="4" fillId="4" borderId="0" xfId="4" applyFont="1" applyFill="1" applyBorder="1" applyAlignment="1">
      <alignment horizontal="center" vertical="center" wrapText="1"/>
    </xf>
    <xf numFmtId="1" fontId="75" fillId="0" borderId="0" xfId="4" applyNumberFormat="1" applyFont="1" applyBorder="1" applyAlignment="1">
      <alignment horizontal="left" vertical="center" wrapText="1"/>
    </xf>
    <xf numFmtId="0" fontId="82" fillId="0" borderId="0" xfId="0" applyFont="1" applyBorder="1" applyAlignment="1">
      <alignment horizontal="center"/>
    </xf>
    <xf numFmtId="0" fontId="84" fillId="4" borderId="0" xfId="4" applyFont="1" applyFill="1" applyBorder="1" applyAlignment="1">
      <alignment horizontal="center" wrapText="1"/>
    </xf>
    <xf numFmtId="0" fontId="86" fillId="4" borderId="0" xfId="0" applyFont="1" applyFill="1" applyBorder="1" applyAlignment="1">
      <alignment horizontal="center"/>
    </xf>
    <xf numFmtId="168" fontId="91" fillId="2" borderId="0" xfId="4" applyNumberFormat="1" applyFont="1" applyFill="1" applyBorder="1" applyAlignment="1">
      <alignment horizontal="left" vertical="center" wrapText="1"/>
    </xf>
    <xf numFmtId="168" fontId="94" fillId="2" borderId="0" xfId="4" applyNumberFormat="1" applyFont="1" applyFill="1" applyBorder="1" applyAlignment="1">
      <alignment horizontal="left" vertical="center" wrapText="1"/>
    </xf>
    <xf numFmtId="0" fontId="9" fillId="0" borderId="0" xfId="4" applyFont="1" applyBorder="1" applyAlignment="1">
      <alignment horizontal="center" vertical="center" wrapText="1"/>
    </xf>
    <xf numFmtId="0" fontId="7" fillId="0" borderId="0" xfId="4" applyFont="1" applyFill="1" applyBorder="1" applyAlignment="1">
      <alignment horizontal="center" wrapText="1"/>
    </xf>
    <xf numFmtId="0" fontId="67" fillId="2" borderId="0" xfId="4" applyFont="1" applyFill="1" applyBorder="1" applyAlignment="1">
      <alignment horizontal="center" vertical="top" wrapText="1"/>
    </xf>
    <xf numFmtId="0" fontId="67" fillId="4" borderId="0" xfId="4" applyNumberFormat="1" applyFont="1" applyFill="1" applyBorder="1" applyAlignment="1">
      <alignment horizontal="center" vertical="center" textRotation="180" wrapText="1"/>
    </xf>
    <xf numFmtId="0" fontId="78" fillId="4" borderId="0" xfId="4" applyFont="1" applyFill="1" applyBorder="1" applyAlignment="1">
      <alignment horizontal="center" vertical="center" textRotation="180" wrapText="1" readingOrder="1"/>
    </xf>
    <xf numFmtId="0" fontId="4" fillId="4" borderId="23" xfId="4" applyFont="1" applyFill="1" applyBorder="1" applyAlignment="1">
      <alignment horizontal="center" vertical="center" wrapText="1"/>
    </xf>
    <xf numFmtId="0" fontId="4" fillId="4" borderId="12" xfId="4" applyFont="1" applyFill="1" applyBorder="1" applyAlignment="1">
      <alignment horizontal="center" vertical="center" wrapText="1"/>
    </xf>
    <xf numFmtId="0" fontId="4" fillId="4" borderId="19" xfId="4" applyFont="1" applyFill="1" applyBorder="1" applyAlignment="1">
      <alignment horizontal="center" vertical="center" wrapText="1"/>
    </xf>
    <xf numFmtId="0" fontId="54" fillId="4" borderId="0" xfId="4" applyNumberFormat="1" applyFont="1" applyFill="1" applyBorder="1" applyAlignment="1">
      <alignment horizontal="center" vertical="top" textRotation="180" wrapText="1"/>
    </xf>
    <xf numFmtId="0" fontId="43" fillId="4" borderId="0" xfId="4" applyFont="1" applyFill="1" applyBorder="1" applyAlignment="1">
      <alignment horizontal="center" vertical="center" textRotation="180" wrapText="1" readingOrder="1"/>
    </xf>
    <xf numFmtId="0" fontId="4" fillId="0" borderId="23" xfId="4" applyFont="1" applyBorder="1" applyAlignment="1">
      <alignment horizontal="center" vertical="center" wrapText="1"/>
    </xf>
    <xf numFmtId="0" fontId="4" fillId="0" borderId="29" xfId="4" applyFont="1" applyBorder="1" applyAlignment="1">
      <alignment horizontal="center" vertical="center" wrapText="1"/>
    </xf>
    <xf numFmtId="0" fontId="5" fillId="0" borderId="0" xfId="4" applyFont="1" applyBorder="1" applyAlignment="1">
      <alignment horizontal="center" vertical="center" wrapText="1"/>
    </xf>
    <xf numFmtId="0" fontId="5" fillId="0" borderId="0" xfId="4" applyNumberFormat="1" applyFont="1" applyBorder="1" applyAlignment="1">
      <alignment horizontal="center" vertical="center" wrapText="1"/>
    </xf>
    <xf numFmtId="0" fontId="92" fillId="0" borderId="0" xfId="4" applyFont="1" applyBorder="1" applyAlignment="1">
      <alignment horizontal="center" vertical="center" wrapText="1"/>
    </xf>
    <xf numFmtId="0" fontId="39" fillId="0" borderId="22" xfId="4" applyFont="1" applyBorder="1" applyAlignment="1">
      <alignment horizontal="center" vertical="center" wrapText="1"/>
    </xf>
    <xf numFmtId="0" fontId="16" fillId="0" borderId="0" xfId="4" applyFont="1" applyBorder="1" applyAlignment="1">
      <alignment horizontal="center" vertical="center" wrapText="1"/>
    </xf>
    <xf numFmtId="0" fontId="34" fillId="0" borderId="0" xfId="4" applyNumberFormat="1" applyFont="1" applyBorder="1" applyAlignment="1">
      <alignment horizontal="center" vertical="center" wrapText="1"/>
    </xf>
    <xf numFmtId="0" fontId="93" fillId="0" borderId="0" xfId="4" applyFont="1" applyBorder="1" applyAlignment="1">
      <alignment horizontal="center" vertical="center" wrapText="1"/>
    </xf>
    <xf numFmtId="0" fontId="9" fillId="0" borderId="0" xfId="2" applyNumberFormat="1" applyFont="1" applyBorder="1" applyAlignment="1">
      <alignment vertical="top" wrapText="1"/>
    </xf>
    <xf numFmtId="0" fontId="25" fillId="2" borderId="0" xfId="4" applyFont="1" applyFill="1" applyBorder="1" applyAlignment="1">
      <alignment horizontal="center" vertical="center" wrapText="1"/>
    </xf>
    <xf numFmtId="168" fontId="63" fillId="0" borderId="0" xfId="4" applyNumberFormat="1" applyFont="1" applyFill="1" applyBorder="1" applyAlignment="1">
      <alignment horizontal="left" vertical="center" wrapText="1"/>
    </xf>
    <xf numFmtId="0" fontId="5" fillId="0" borderId="0" xfId="4" applyNumberFormat="1" applyFont="1" applyBorder="1" applyAlignment="1">
      <alignment horizontal="center" vertical="center"/>
    </xf>
    <xf numFmtId="0" fontId="61" fillId="0" borderId="0" xfId="4" applyNumberFormat="1" applyFont="1" applyBorder="1" applyAlignment="1">
      <alignment horizontal="center" vertical="center"/>
    </xf>
    <xf numFmtId="1" fontId="6" fillId="0" borderId="0" xfId="4" applyNumberFormat="1" applyFont="1" applyBorder="1" applyAlignment="1">
      <alignment horizontal="center" vertical="center" wrapText="1"/>
    </xf>
    <xf numFmtId="0" fontId="1" fillId="2" borderId="0" xfId="4" applyFont="1" applyFill="1" applyBorder="1" applyAlignment="1">
      <alignment horizontal="center" vertical="center" wrapText="1"/>
    </xf>
    <xf numFmtId="1" fontId="6" fillId="0" borderId="0" xfId="4" applyNumberFormat="1" applyFont="1" applyBorder="1" applyAlignment="1">
      <alignment horizontal="center" vertical="top" wrapText="1"/>
    </xf>
    <xf numFmtId="0" fontId="6" fillId="0" borderId="0" xfId="4" applyFont="1" applyBorder="1" applyAlignment="1">
      <alignment horizontal="center" vertical="top" wrapText="1"/>
    </xf>
    <xf numFmtId="0" fontId="5" fillId="0" borderId="0" xfId="4" applyFont="1" applyBorder="1" applyAlignment="1">
      <alignment horizontal="center" vertical="top"/>
    </xf>
    <xf numFmtId="0" fontId="61" fillId="0" borderId="0" xfId="4" applyFont="1" applyBorder="1" applyAlignment="1">
      <alignment horizontal="center" vertical="top"/>
    </xf>
    <xf numFmtId="0" fontId="56" fillId="0" borderId="13" xfId="4" applyFont="1" applyBorder="1" applyAlignment="1">
      <alignment horizontal="left" vertical="top" wrapText="1"/>
    </xf>
    <xf numFmtId="0" fontId="56" fillId="0" borderId="14" xfId="4" applyFont="1" applyBorder="1" applyAlignment="1">
      <alignment horizontal="left" vertical="top" wrapText="1"/>
    </xf>
    <xf numFmtId="0" fontId="56" fillId="0" borderId="15" xfId="4" applyFont="1" applyBorder="1" applyAlignment="1">
      <alignment horizontal="left" vertical="top" wrapText="1"/>
    </xf>
    <xf numFmtId="0" fontId="56" fillId="0" borderId="11" xfId="4" applyFont="1" applyBorder="1" applyAlignment="1">
      <alignment horizontal="left" vertical="top" wrapText="1"/>
    </xf>
    <xf numFmtId="0" fontId="56" fillId="0" borderId="0" xfId="4" applyFont="1" applyBorder="1" applyAlignment="1">
      <alignment horizontal="left" vertical="top" wrapText="1"/>
    </xf>
    <xf numFmtId="0" fontId="56" fillId="0" borderId="39" xfId="4" applyFont="1" applyBorder="1" applyAlignment="1">
      <alignment horizontal="left" vertical="top" wrapText="1"/>
    </xf>
    <xf numFmtId="0" fontId="56" fillId="0" borderId="41" xfId="4" applyFont="1" applyBorder="1" applyAlignment="1">
      <alignment horizontal="left" vertical="top" wrapText="1"/>
    </xf>
    <xf numFmtId="0" fontId="56" fillId="0" borderId="38" xfId="4" applyFont="1" applyBorder="1" applyAlignment="1">
      <alignment horizontal="left" vertical="top" wrapText="1"/>
    </xf>
    <xf numFmtId="0" fontId="56" fillId="0" borderId="33" xfId="4" applyFont="1" applyBorder="1" applyAlignment="1">
      <alignment horizontal="left" vertical="top" wrapText="1"/>
    </xf>
    <xf numFmtId="0" fontId="39" fillId="2" borderId="45" xfId="4" applyFont="1" applyFill="1" applyBorder="1" applyAlignment="1">
      <alignment horizontal="center" vertical="center" wrapText="1"/>
    </xf>
    <xf numFmtId="0" fontId="39" fillId="2" borderId="46" xfId="4" applyFont="1" applyFill="1" applyBorder="1" applyAlignment="1">
      <alignment horizontal="center" vertical="center" wrapText="1"/>
    </xf>
    <xf numFmtId="0" fontId="39" fillId="2" borderId="21" xfId="4" applyFont="1" applyFill="1" applyBorder="1" applyAlignment="1">
      <alignment horizontal="center" vertical="center" wrapText="1"/>
    </xf>
    <xf numFmtId="0" fontId="39" fillId="2" borderId="22" xfId="4" applyFont="1" applyFill="1" applyBorder="1" applyAlignment="1">
      <alignment horizontal="center" vertical="center" wrapText="1"/>
    </xf>
    <xf numFmtId="0" fontId="5" fillId="0" borderId="22" xfId="4" applyFont="1" applyBorder="1" applyAlignment="1">
      <alignment horizontal="center" vertical="center"/>
    </xf>
    <xf numFmtId="0" fontId="5" fillId="0" borderId="22" xfId="4" applyFont="1" applyFill="1" applyBorder="1" applyAlignment="1">
      <alignment horizontal="center" vertical="center" wrapText="1"/>
    </xf>
    <xf numFmtId="0" fontId="42" fillId="0" borderId="22" xfId="0" applyFont="1" applyFill="1" applyBorder="1" applyAlignment="1">
      <alignment vertical="center"/>
    </xf>
    <xf numFmtId="0" fontId="9" fillId="0" borderId="13" xfId="4" applyFont="1" applyBorder="1" applyAlignment="1">
      <alignment horizontal="left" vertical="top" wrapText="1"/>
    </xf>
    <xf numFmtId="0" fontId="44" fillId="0" borderId="14" xfId="4" applyFont="1" applyBorder="1" applyAlignment="1">
      <alignment horizontal="left" vertical="top" wrapText="1"/>
    </xf>
    <xf numFmtId="0" fontId="44" fillId="0" borderId="15" xfId="4" applyFont="1" applyBorder="1" applyAlignment="1">
      <alignment horizontal="left" vertical="top" wrapText="1"/>
    </xf>
    <xf numFmtId="0" fontId="44" fillId="0" borderId="11" xfId="4" applyFont="1" applyBorder="1" applyAlignment="1">
      <alignment horizontal="left" vertical="top" wrapText="1"/>
    </xf>
    <xf numFmtId="0" fontId="44" fillId="0" borderId="0" xfId="4" applyFont="1" applyBorder="1" applyAlignment="1">
      <alignment horizontal="left" vertical="top" wrapText="1"/>
    </xf>
    <xf numFmtId="0" fontId="44" fillId="0" borderId="39" xfId="4" applyFont="1" applyBorder="1" applyAlignment="1">
      <alignment horizontal="left" vertical="top" wrapText="1"/>
    </xf>
    <xf numFmtId="0" fontId="44" fillId="0" borderId="18" xfId="4" applyFont="1" applyBorder="1" applyAlignment="1">
      <alignment horizontal="left" vertical="top" wrapText="1"/>
    </xf>
    <xf numFmtId="0" fontId="44" fillId="0" borderId="17" xfId="4" applyFont="1" applyBorder="1" applyAlignment="1">
      <alignment horizontal="left" vertical="top" wrapText="1"/>
    </xf>
    <xf numFmtId="0" fontId="44" fillId="0" borderId="20" xfId="4" applyFont="1" applyBorder="1" applyAlignment="1">
      <alignment horizontal="left" vertical="top" wrapText="1"/>
    </xf>
    <xf numFmtId="49" fontId="6" fillId="0" borderId="22" xfId="4" applyNumberFormat="1" applyFont="1" applyBorder="1" applyAlignment="1">
      <alignment horizontal="center" vertical="center" wrapText="1"/>
    </xf>
    <xf numFmtId="49" fontId="6" fillId="0" borderId="24" xfId="4" applyNumberFormat="1" applyFont="1" applyBorder="1" applyAlignment="1">
      <alignment horizontal="center" vertical="center" wrapText="1"/>
    </xf>
    <xf numFmtId="0" fontId="55" fillId="4" borderId="6" xfId="4" applyFont="1" applyFill="1" applyBorder="1" applyAlignment="1">
      <alignment horizontal="center" vertical="top" wrapText="1"/>
    </xf>
    <xf numFmtId="0" fontId="55" fillId="4" borderId="0" xfId="4" applyFont="1" applyFill="1" applyBorder="1" applyAlignment="1">
      <alignment horizontal="center" vertical="top" wrapText="1"/>
    </xf>
    <xf numFmtId="0" fontId="55" fillId="4" borderId="12" xfId="4" applyFont="1" applyFill="1" applyBorder="1" applyAlignment="1">
      <alignment horizontal="center" vertical="top" wrapText="1"/>
    </xf>
    <xf numFmtId="0" fontId="55" fillId="4" borderId="32" xfId="4" applyFont="1" applyFill="1" applyBorder="1" applyAlignment="1">
      <alignment horizontal="center" vertical="top" wrapText="1"/>
    </xf>
    <xf numFmtId="0" fontId="55" fillId="4" borderId="38" xfId="4" applyFont="1" applyFill="1" applyBorder="1" applyAlignment="1">
      <alignment horizontal="center" vertical="top" wrapText="1"/>
    </xf>
    <xf numFmtId="0" fontId="55" fillId="4" borderId="49" xfId="4" applyFont="1" applyFill="1" applyBorder="1" applyAlignment="1">
      <alignment horizontal="center" vertical="top" wrapText="1"/>
    </xf>
    <xf numFmtId="9" fontId="9" fillId="0" borderId="0" xfId="2" applyFont="1" applyBorder="1" applyAlignment="1">
      <alignment horizontal="left" vertical="top" wrapText="1"/>
    </xf>
    <xf numFmtId="0" fontId="56" fillId="0" borderId="22" xfId="4" applyFont="1" applyBorder="1" applyAlignment="1">
      <alignment horizontal="left" vertical="center" wrapText="1"/>
    </xf>
    <xf numFmtId="1" fontId="74" fillId="0" borderId="0" xfId="4" applyNumberFormat="1" applyFont="1" applyBorder="1" applyAlignment="1">
      <alignment horizontal="center" vertical="center" wrapText="1"/>
    </xf>
    <xf numFmtId="0" fontId="74" fillId="0" borderId="0" xfId="4" applyFont="1" applyBorder="1" applyAlignment="1">
      <alignment horizontal="center" vertical="center" wrapText="1"/>
    </xf>
    <xf numFmtId="168" fontId="70" fillId="0" borderId="0" xfId="3" applyNumberFormat="1" applyFont="1" applyFill="1" applyBorder="1" applyAlignment="1" applyProtection="1">
      <alignment horizontal="left" vertical="center" wrapText="1"/>
    </xf>
    <xf numFmtId="0" fontId="2" fillId="0" borderId="0" xfId="4" applyNumberFormat="1" applyFont="1" applyBorder="1" applyAlignment="1">
      <alignment horizontal="center" vertical="center" wrapText="1"/>
    </xf>
    <xf numFmtId="0" fontId="2" fillId="2" borderId="13" xfId="4" applyFont="1" applyFill="1" applyBorder="1" applyAlignment="1">
      <alignment horizontal="center" vertical="center" wrapText="1"/>
    </xf>
    <xf numFmtId="0" fontId="2" fillId="2" borderId="15" xfId="4" applyFont="1" applyFill="1" applyBorder="1" applyAlignment="1">
      <alignment horizontal="center" vertical="center" wrapText="1"/>
    </xf>
    <xf numFmtId="0" fontId="2" fillId="2" borderId="18" xfId="4" applyFont="1" applyFill="1" applyBorder="1" applyAlignment="1">
      <alignment horizontal="center" vertical="center" wrapText="1"/>
    </xf>
    <xf numFmtId="0" fontId="2" fillId="2" borderId="20" xfId="4" applyFont="1" applyFill="1" applyBorder="1" applyAlignment="1">
      <alignment horizontal="center" vertical="center" wrapText="1"/>
    </xf>
    <xf numFmtId="0" fontId="8" fillId="4" borderId="13" xfId="4" applyFont="1" applyFill="1" applyBorder="1" applyAlignment="1">
      <alignment horizontal="center" vertical="center" wrapText="1"/>
    </xf>
    <xf numFmtId="0" fontId="8" fillId="4" borderId="26" xfId="4" applyFont="1" applyFill="1" applyBorder="1" applyAlignment="1">
      <alignment horizontal="center" vertical="center" wrapText="1"/>
    </xf>
    <xf numFmtId="0" fontId="8" fillId="4" borderId="18" xfId="4" applyFont="1" applyFill="1" applyBorder="1" applyAlignment="1">
      <alignment horizontal="center" vertical="center" wrapText="1"/>
    </xf>
    <xf numFmtId="0" fontId="8" fillId="4" borderId="19" xfId="4" applyFont="1" applyFill="1" applyBorder="1" applyAlignment="1">
      <alignment horizontal="center" vertical="center" wrapText="1"/>
    </xf>
    <xf numFmtId="0" fontId="75" fillId="0" borderId="0" xfId="2" applyNumberFormat="1" applyFont="1" applyBorder="1" applyAlignment="1">
      <alignment horizontal="left" vertical="top" wrapText="1"/>
    </xf>
    <xf numFmtId="14" fontId="89" fillId="0" borderId="0" xfId="0" applyNumberFormat="1" applyFont="1" applyBorder="1" applyAlignment="1">
      <alignment horizontal="center" readingOrder="1"/>
    </xf>
    <xf numFmtId="0" fontId="67" fillId="0" borderId="0" xfId="4" applyFont="1" applyBorder="1" applyAlignment="1">
      <alignment horizontal="center" vertical="top" wrapText="1"/>
    </xf>
    <xf numFmtId="0" fontId="5" fillId="0" borderId="0" xfId="4" applyFont="1" applyBorder="1" applyAlignment="1">
      <alignment horizontal="center" vertical="center"/>
    </xf>
    <xf numFmtId="0" fontId="61" fillId="0" borderId="0" xfId="4" applyFont="1" applyBorder="1" applyAlignment="1">
      <alignment horizontal="center" vertical="center"/>
    </xf>
    <xf numFmtId="0" fontId="2" fillId="0" borderId="3" xfId="4" applyFont="1" applyBorder="1" applyAlignment="1">
      <alignment horizontal="center" vertical="center" wrapText="1"/>
    </xf>
    <xf numFmtId="0" fontId="2" fillId="0" borderId="4" xfId="4" applyFont="1" applyBorder="1" applyAlignment="1">
      <alignment horizontal="center" vertical="center" wrapText="1"/>
    </xf>
    <xf numFmtId="0" fontId="2" fillId="0" borderId="5" xfId="4" applyFont="1" applyBorder="1" applyAlignment="1">
      <alignment horizontal="center" vertical="center" wrapText="1"/>
    </xf>
    <xf numFmtId="0" fontId="4" fillId="3" borderId="7" xfId="4" applyFont="1" applyFill="1" applyBorder="1" applyAlignment="1">
      <alignment horizontal="center" vertical="center" wrapText="1"/>
    </xf>
    <xf numFmtId="0" fontId="4" fillId="3" borderId="8" xfId="4" applyFont="1" applyFill="1" applyBorder="1" applyAlignment="1">
      <alignment horizontal="center" vertical="center" wrapText="1"/>
    </xf>
    <xf numFmtId="0" fontId="4" fillId="3" borderId="9" xfId="4" applyFont="1" applyFill="1" applyBorder="1" applyAlignment="1">
      <alignment horizontal="center" vertical="center" wrapText="1"/>
    </xf>
    <xf numFmtId="0" fontId="4" fillId="3" borderId="10" xfId="4" applyFont="1" applyFill="1" applyBorder="1" applyAlignment="1">
      <alignment horizontal="center" vertical="center" wrapText="1"/>
    </xf>
    <xf numFmtId="0" fontId="7" fillId="2" borderId="16" xfId="4" applyFont="1" applyFill="1" applyBorder="1" applyAlignment="1">
      <alignment horizontal="center" vertical="justify" wrapText="1"/>
    </xf>
    <xf numFmtId="0" fontId="7" fillId="2" borderId="17" xfId="4" applyFont="1" applyFill="1" applyBorder="1" applyAlignment="1">
      <alignment horizontal="center" vertical="justify" wrapText="1"/>
    </xf>
    <xf numFmtId="9" fontId="5" fillId="0" borderId="13" xfId="2" applyFont="1" applyBorder="1" applyAlignment="1">
      <alignment horizontal="left" vertical="top" wrapText="1"/>
    </xf>
    <xf numFmtId="9" fontId="5" fillId="0" borderId="14" xfId="2" applyFont="1" applyBorder="1" applyAlignment="1">
      <alignment horizontal="left" vertical="top" wrapText="1"/>
    </xf>
    <xf numFmtId="9" fontId="2" fillId="0" borderId="7" xfId="2" applyFont="1" applyBorder="1" applyAlignment="1">
      <alignment horizontal="center" vertical="top" wrapText="1"/>
    </xf>
    <xf numFmtId="9" fontId="2" fillId="0" borderId="9" xfId="2" applyFont="1" applyBorder="1" applyAlignment="1">
      <alignment horizontal="center" vertical="top" wrapText="1"/>
    </xf>
    <xf numFmtId="9" fontId="2" fillId="0" borderId="10" xfId="2" applyFont="1" applyBorder="1" applyAlignment="1">
      <alignment horizontal="center" vertical="top" wrapText="1"/>
    </xf>
    <xf numFmtId="9" fontId="8" fillId="0" borderId="13" xfId="2" applyFont="1" applyBorder="1" applyAlignment="1">
      <alignment horizontal="left" vertical="top" wrapText="1"/>
    </xf>
    <xf numFmtId="9" fontId="8" fillId="0" borderId="14" xfId="2" applyFont="1" applyBorder="1" applyAlignment="1">
      <alignment horizontal="left" vertical="top" wrapText="1"/>
    </xf>
    <xf numFmtId="9" fontId="8" fillId="0" borderId="15" xfId="2" applyFont="1" applyBorder="1" applyAlignment="1">
      <alignment horizontal="left" vertical="top" wrapText="1"/>
    </xf>
    <xf numFmtId="0" fontId="10" fillId="0" borderId="7" xfId="4" applyFont="1" applyBorder="1" applyAlignment="1">
      <alignment horizontal="center" vertical="center" wrapText="1"/>
    </xf>
    <xf numFmtId="0" fontId="10" fillId="0" borderId="9" xfId="4" applyFont="1" applyBorder="1" applyAlignment="1">
      <alignment horizontal="center" vertical="center" wrapText="1"/>
    </xf>
    <xf numFmtId="0" fontId="10" fillId="0" borderId="8" xfId="4" applyFont="1" applyBorder="1" applyAlignment="1">
      <alignment horizontal="center" vertical="center" wrapText="1"/>
    </xf>
    <xf numFmtId="0" fontId="12" fillId="2" borderId="9" xfId="4" applyFont="1" applyFill="1" applyBorder="1" applyAlignment="1">
      <alignment horizontal="center" wrapText="1"/>
    </xf>
    <xf numFmtId="0" fontId="12" fillId="2" borderId="10" xfId="4" applyFont="1" applyFill="1" applyBorder="1" applyAlignment="1">
      <alignment horizontal="center" wrapText="1"/>
    </xf>
    <xf numFmtId="49" fontId="8" fillId="0" borderId="13" xfId="2" applyNumberFormat="1" applyFont="1" applyBorder="1" applyAlignment="1">
      <alignment horizontal="left" vertical="top" wrapText="1"/>
    </xf>
    <xf numFmtId="49" fontId="8" fillId="0" borderId="14" xfId="2" applyNumberFormat="1" applyFont="1" applyBorder="1" applyAlignment="1">
      <alignment horizontal="left" vertical="top" wrapText="1"/>
    </xf>
    <xf numFmtId="49" fontId="8" fillId="0" borderId="15" xfId="2" applyNumberFormat="1" applyFont="1" applyBorder="1" applyAlignment="1">
      <alignment horizontal="left" vertical="top" wrapText="1"/>
    </xf>
    <xf numFmtId="9" fontId="13" fillId="3" borderId="30" xfId="2" applyFont="1" applyFill="1" applyBorder="1" applyAlignment="1">
      <alignment horizontal="left" vertical="top" wrapText="1"/>
    </xf>
    <xf numFmtId="9" fontId="13" fillId="3" borderId="14" xfId="2" applyFont="1" applyFill="1" applyBorder="1" applyAlignment="1">
      <alignment horizontal="left" vertical="top" wrapText="1"/>
    </xf>
    <xf numFmtId="9" fontId="13" fillId="3" borderId="26" xfId="2" applyFont="1" applyFill="1" applyBorder="1" applyAlignment="1">
      <alignment horizontal="left" vertical="top" wrapText="1"/>
    </xf>
    <xf numFmtId="0" fontId="18" fillId="0" borderId="7" xfId="0" applyFont="1" applyBorder="1" applyAlignment="1">
      <alignment horizontal="center" vertical="center"/>
    </xf>
    <xf numFmtId="0" fontId="18" fillId="0" borderId="8" xfId="0" applyFont="1" applyBorder="1" applyAlignment="1">
      <alignment horizontal="center" vertical="center"/>
    </xf>
    <xf numFmtId="0" fontId="19" fillId="0" borderId="16" xfId="4" applyNumberFormat="1" applyFont="1" applyBorder="1" applyAlignment="1">
      <alignment horizontal="center" vertical="justify" wrapText="1"/>
    </xf>
    <xf numFmtId="0" fontId="19" fillId="0" borderId="17" xfId="4" applyNumberFormat="1" applyFont="1" applyBorder="1" applyAlignment="1">
      <alignment horizontal="center" vertical="justify" wrapText="1"/>
    </xf>
    <xf numFmtId="0" fontId="19" fillId="0" borderId="20" xfId="4" applyNumberFormat="1" applyFont="1" applyBorder="1" applyAlignment="1">
      <alignment horizontal="center" vertical="justify" wrapText="1"/>
    </xf>
    <xf numFmtId="0" fontId="20" fillId="3" borderId="34" xfId="0" applyFont="1" applyFill="1" applyBorder="1" applyAlignment="1">
      <alignment horizontal="left" vertical="justify"/>
    </xf>
    <xf numFmtId="0" fontId="20" fillId="3" borderId="9" xfId="0" applyFont="1" applyFill="1" applyBorder="1" applyAlignment="1">
      <alignment horizontal="left" vertical="justify"/>
    </xf>
    <xf numFmtId="0" fontId="20" fillId="3" borderId="10" xfId="0" applyFont="1" applyFill="1" applyBorder="1" applyAlignment="1">
      <alignment horizontal="left" vertical="justify"/>
    </xf>
    <xf numFmtId="0" fontId="21" fillId="0" borderId="34" xfId="0" applyFont="1" applyBorder="1" applyAlignment="1">
      <alignment horizontal="left" vertical="center"/>
    </xf>
    <xf numFmtId="0" fontId="21" fillId="0" borderId="8" xfId="0" applyFont="1" applyBorder="1" applyAlignment="1">
      <alignment horizontal="left" vertical="center"/>
    </xf>
    <xf numFmtId="0" fontId="22" fillId="0" borderId="9" xfId="0" applyFont="1" applyBorder="1" applyAlignment="1">
      <alignment horizontal="center" vertical="center"/>
    </xf>
    <xf numFmtId="0" fontId="22" fillId="0" borderId="10" xfId="0" applyFont="1" applyBorder="1" applyAlignment="1">
      <alignment horizontal="center" vertical="center"/>
    </xf>
    <xf numFmtId="9" fontId="23" fillId="0" borderId="35" xfId="2" applyFont="1" applyBorder="1" applyAlignment="1">
      <alignment horizontal="center" vertical="top" wrapText="1"/>
    </xf>
    <xf numFmtId="9" fontId="23" fillId="0" borderId="36" xfId="2" applyFont="1" applyBorder="1" applyAlignment="1">
      <alignment horizontal="center" vertical="top" wrapText="1"/>
    </xf>
    <xf numFmtId="9" fontId="23" fillId="0" borderId="37" xfId="2" applyFont="1" applyBorder="1" applyAlignment="1">
      <alignment horizontal="center" vertical="top" wrapText="1"/>
    </xf>
    <xf numFmtId="0" fontId="8" fillId="0" borderId="3" xfId="4" applyNumberFormat="1" applyFont="1" applyBorder="1" applyAlignment="1">
      <alignment horizontal="center" vertical="center" wrapText="1"/>
    </xf>
    <xf numFmtId="0" fontId="8" fillId="0" borderId="4" xfId="4" applyNumberFormat="1" applyFont="1" applyBorder="1" applyAlignment="1">
      <alignment horizontal="center" vertical="center" wrapText="1"/>
    </xf>
    <xf numFmtId="0" fontId="8" fillId="0" borderId="5" xfId="4" applyNumberFormat="1" applyFont="1" applyBorder="1" applyAlignment="1">
      <alignment horizontal="center" vertical="center" wrapText="1"/>
    </xf>
    <xf numFmtId="0" fontId="4" fillId="3" borderId="22" xfId="4" applyNumberFormat="1" applyFont="1" applyFill="1" applyBorder="1" applyAlignment="1">
      <alignment horizontal="center" vertical="center" wrapText="1"/>
    </xf>
    <xf numFmtId="0" fontId="4" fillId="3" borderId="24" xfId="4" applyNumberFormat="1" applyFont="1" applyFill="1" applyBorder="1" applyAlignment="1">
      <alignment horizontal="center" vertical="center" wrapText="1"/>
    </xf>
    <xf numFmtId="0" fontId="26" fillId="2" borderId="16" xfId="3" applyFont="1" applyFill="1" applyBorder="1" applyAlignment="1" applyProtection="1">
      <alignment horizontal="center" vertical="justify" wrapText="1"/>
    </xf>
    <xf numFmtId="0" fontId="11" fillId="2" borderId="17" xfId="4" applyFont="1" applyFill="1" applyBorder="1" applyAlignment="1">
      <alignment horizontal="center" vertical="justify" wrapText="1"/>
    </xf>
    <xf numFmtId="0" fontId="4" fillId="0" borderId="22" xfId="4" applyNumberFormat="1" applyFont="1" applyBorder="1" applyAlignment="1">
      <alignment horizontal="center" vertical="center" wrapText="1"/>
    </xf>
    <xf numFmtId="9" fontId="27" fillId="0" borderId="7" xfId="2" applyNumberFormat="1" applyFont="1" applyBorder="1" applyAlignment="1">
      <alignment horizontal="center" vertical="center" wrapText="1"/>
    </xf>
    <xf numFmtId="0" fontId="28" fillId="0" borderId="9" xfId="0" applyNumberFormat="1" applyFont="1" applyBorder="1" applyAlignment="1">
      <alignment vertical="center"/>
    </xf>
    <xf numFmtId="0" fontId="28" fillId="0" borderId="10" xfId="0" applyNumberFormat="1" applyFont="1" applyBorder="1" applyAlignment="1">
      <alignment vertical="center"/>
    </xf>
    <xf numFmtId="1" fontId="8" fillId="0" borderId="7" xfId="2" applyNumberFormat="1" applyFont="1" applyBorder="1" applyAlignment="1">
      <alignment horizontal="center" vertical="center"/>
    </xf>
    <xf numFmtId="0" fontId="30" fillId="0" borderId="9" xfId="0" applyNumberFormat="1" applyFont="1" applyBorder="1" applyAlignment="1">
      <alignment vertical="center"/>
    </xf>
    <xf numFmtId="0" fontId="30" fillId="0" borderId="10" xfId="0" applyNumberFormat="1" applyFont="1" applyBorder="1" applyAlignment="1">
      <alignment vertical="center"/>
    </xf>
    <xf numFmtId="0" fontId="5" fillId="0" borderId="7" xfId="4" applyNumberFormat="1" applyFont="1" applyBorder="1" applyAlignment="1">
      <alignment horizontal="center" vertical="center" wrapText="1"/>
    </xf>
    <xf numFmtId="0" fontId="5" fillId="0" borderId="9" xfId="4" applyNumberFormat="1" applyFont="1" applyBorder="1" applyAlignment="1">
      <alignment horizontal="center" vertical="center" wrapText="1"/>
    </xf>
    <xf numFmtId="0" fontId="5" fillId="0" borderId="8" xfId="4" applyNumberFormat="1" applyFont="1" applyBorder="1" applyAlignment="1">
      <alignment horizontal="center" vertical="center" wrapText="1"/>
    </xf>
    <xf numFmtId="0" fontId="31" fillId="0" borderId="7" xfId="4" applyNumberFormat="1" applyFont="1" applyBorder="1" applyAlignment="1">
      <alignment horizontal="center" vertical="center"/>
    </xf>
    <xf numFmtId="0" fontId="31" fillId="0" borderId="10" xfId="4" applyNumberFormat="1" applyFont="1" applyBorder="1" applyAlignment="1">
      <alignment horizontal="center" vertical="center"/>
    </xf>
    <xf numFmtId="0" fontId="21" fillId="0" borderId="7" xfId="0" applyNumberFormat="1" applyFont="1" applyBorder="1" applyAlignment="1">
      <alignment horizontal="center" vertical="center"/>
    </xf>
    <xf numFmtId="0" fontId="21" fillId="0" borderId="9" xfId="0" applyNumberFormat="1" applyFont="1" applyBorder="1" applyAlignment="1">
      <alignment horizontal="center" vertical="center"/>
    </xf>
    <xf numFmtId="0" fontId="21" fillId="0" borderId="10" xfId="0" applyNumberFormat="1" applyFont="1" applyBorder="1" applyAlignment="1">
      <alignment horizontal="center" vertical="center"/>
    </xf>
    <xf numFmtId="0" fontId="13" fillId="3" borderId="30" xfId="2" applyNumberFormat="1" applyFont="1" applyFill="1" applyBorder="1" applyAlignment="1">
      <alignment horizontal="left" vertical="justify" wrapText="1"/>
    </xf>
    <xf numFmtId="0" fontId="32" fillId="3" borderId="14" xfId="0" applyNumberFormat="1" applyFont="1" applyFill="1" applyBorder="1"/>
    <xf numFmtId="0" fontId="32" fillId="3" borderId="9" xfId="0" applyNumberFormat="1" applyFont="1" applyFill="1" applyBorder="1"/>
    <xf numFmtId="0" fontId="32" fillId="3" borderId="8" xfId="0" applyNumberFormat="1" applyFont="1" applyFill="1" applyBorder="1"/>
    <xf numFmtId="0" fontId="4" fillId="3" borderId="7" xfId="4" applyNumberFormat="1" applyFont="1" applyFill="1" applyBorder="1" applyAlignment="1">
      <alignment horizontal="center" vertical="top" wrapText="1"/>
    </xf>
    <xf numFmtId="0" fontId="21" fillId="3" borderId="10" xfId="0" applyNumberFormat="1" applyFont="1" applyFill="1" applyBorder="1" applyAlignment="1">
      <alignment vertical="top"/>
    </xf>
    <xf numFmtId="0" fontId="18" fillId="0" borderId="13" xfId="0" applyNumberFormat="1" applyFont="1" applyBorder="1" applyAlignment="1">
      <alignment horizontal="center" vertical="center"/>
    </xf>
    <xf numFmtId="0" fontId="18" fillId="0" borderId="26" xfId="0" applyNumberFormat="1" applyFont="1" applyBorder="1" applyAlignment="1">
      <alignment horizontal="center" vertical="center"/>
    </xf>
    <xf numFmtId="0" fontId="19" fillId="0" borderId="42" xfId="4" applyNumberFormat="1" applyFont="1" applyBorder="1" applyAlignment="1">
      <alignment horizontal="center" vertical="justify" wrapText="1"/>
    </xf>
    <xf numFmtId="0" fontId="21" fillId="0" borderId="43" xfId="0" applyNumberFormat="1" applyFont="1" applyBorder="1" applyAlignment="1">
      <alignment horizontal="center"/>
    </xf>
    <xf numFmtId="0" fontId="21" fillId="0" borderId="44" xfId="0" applyNumberFormat="1" applyFont="1" applyBorder="1" applyAlignment="1">
      <alignment horizontal="center"/>
    </xf>
    <xf numFmtId="0" fontId="20" fillId="3" borderId="6" xfId="0" applyNumberFormat="1" applyFont="1" applyFill="1" applyBorder="1" applyAlignment="1">
      <alignment horizontal="left" vertical="justify"/>
    </xf>
    <xf numFmtId="0" fontId="20" fillId="3" borderId="0" xfId="0" applyNumberFormat="1" applyFont="1" applyFill="1" applyBorder="1" applyAlignment="1">
      <alignment horizontal="left" vertical="justify"/>
    </xf>
    <xf numFmtId="0" fontId="20" fillId="3" borderId="17" xfId="0" applyNumberFormat="1" applyFont="1" applyFill="1" applyBorder="1" applyAlignment="1">
      <alignment horizontal="left" vertical="justify"/>
    </xf>
    <xf numFmtId="0" fontId="20" fillId="3" borderId="20" xfId="0" applyNumberFormat="1" applyFont="1" applyFill="1" applyBorder="1" applyAlignment="1">
      <alignment horizontal="left" vertical="justify"/>
    </xf>
    <xf numFmtId="0" fontId="37" fillId="0" borderId="22" xfId="0" applyNumberFormat="1" applyFont="1" applyBorder="1" applyAlignment="1">
      <alignment horizontal="center" vertical="center"/>
    </xf>
    <xf numFmtId="1" fontId="38" fillId="0" borderId="7" xfId="0" applyNumberFormat="1" applyFont="1" applyBorder="1" applyAlignment="1">
      <alignment horizontal="center" vertical="center"/>
    </xf>
    <xf numFmtId="0" fontId="38" fillId="0" borderId="9" xfId="0" applyNumberFormat="1" applyFont="1" applyBorder="1" applyAlignment="1">
      <alignment horizontal="center" vertical="center"/>
    </xf>
    <xf numFmtId="0" fontId="38" fillId="0" borderId="10" xfId="0" applyNumberFormat="1" applyFont="1" applyBorder="1" applyAlignment="1">
      <alignment horizontal="center" vertical="center"/>
    </xf>
    <xf numFmtId="0" fontId="9" fillId="3" borderId="32" xfId="4" applyNumberFormat="1" applyFont="1" applyFill="1" applyBorder="1" applyAlignment="1">
      <alignment horizontal="center" vertical="justify" wrapText="1"/>
    </xf>
    <xf numFmtId="0" fontId="9" fillId="3" borderId="38" xfId="4" applyNumberFormat="1" applyFont="1" applyFill="1" applyBorder="1" applyAlignment="1">
      <alignment horizontal="center" vertical="justify" wrapText="1"/>
    </xf>
    <xf numFmtId="0" fontId="9" fillId="3" borderId="36" xfId="4" applyNumberFormat="1" applyFont="1" applyFill="1" applyBorder="1" applyAlignment="1">
      <alignment horizontal="center" vertical="justify" wrapText="1"/>
    </xf>
    <xf numFmtId="0" fontId="9" fillId="3" borderId="37" xfId="4" applyNumberFormat="1" applyFont="1" applyFill="1" applyBorder="1" applyAlignment="1">
      <alignment horizontal="center" vertical="justify" wrapText="1"/>
    </xf>
    <xf numFmtId="0" fontId="4" fillId="3" borderId="25" xfId="4" applyFont="1" applyFill="1" applyBorder="1" applyAlignment="1">
      <alignment horizontal="center" vertical="top" wrapText="1"/>
    </xf>
    <xf numFmtId="0" fontId="4" fillId="3" borderId="28" xfId="4" applyFont="1" applyFill="1" applyBorder="1" applyAlignment="1">
      <alignment horizontal="center" vertical="top" wrapText="1"/>
    </xf>
    <xf numFmtId="0" fontId="4" fillId="3" borderId="25" xfId="4" applyNumberFormat="1" applyFont="1" applyFill="1" applyBorder="1" applyAlignment="1">
      <alignment horizontal="center" vertical="top" wrapText="1"/>
    </xf>
    <xf numFmtId="0" fontId="4" fillId="3" borderId="28" xfId="4" applyNumberFormat="1" applyFont="1" applyFill="1" applyBorder="1" applyAlignment="1">
      <alignment horizontal="center" vertical="top" wrapText="1"/>
    </xf>
    <xf numFmtId="9" fontId="5" fillId="0" borderId="23" xfId="2" applyFont="1" applyBorder="1" applyAlignment="1">
      <alignment horizontal="center" vertical="top" wrapText="1"/>
    </xf>
    <xf numFmtId="9" fontId="5" fillId="0" borderId="27" xfId="2" applyFont="1" applyBorder="1" applyAlignment="1">
      <alignment horizontal="center" vertical="top" wrapText="1"/>
    </xf>
    <xf numFmtId="9" fontId="5" fillId="0" borderId="29" xfId="2" applyFont="1" applyBorder="1" applyAlignment="1">
      <alignment horizontal="center" vertical="top" wrapText="1"/>
    </xf>
    <xf numFmtId="0" fontId="15" fillId="2" borderId="23" xfId="4" applyFont="1" applyFill="1" applyBorder="1" applyAlignment="1">
      <alignment horizontal="center" vertical="center" wrapText="1"/>
    </xf>
    <xf numFmtId="0" fontId="15" fillId="2" borderId="29" xfId="4" applyFont="1" applyFill="1" applyBorder="1" applyAlignment="1">
      <alignment horizontal="center" vertical="center" wrapText="1"/>
    </xf>
    <xf numFmtId="0" fontId="4" fillId="3" borderId="23" xfId="4" applyNumberFormat="1" applyFont="1" applyFill="1" applyBorder="1" applyAlignment="1">
      <alignment horizontal="center" vertical="top" wrapText="1"/>
    </xf>
    <xf numFmtId="0" fontId="4" fillId="3" borderId="27" xfId="4" applyNumberFormat="1" applyFont="1" applyFill="1" applyBorder="1" applyAlignment="1">
      <alignment horizontal="center" vertical="top" wrapText="1"/>
    </xf>
    <xf numFmtId="0" fontId="4" fillId="3" borderId="29" xfId="4" applyNumberFormat="1" applyFont="1" applyFill="1" applyBorder="1" applyAlignment="1">
      <alignment horizontal="center" vertical="top" wrapText="1"/>
    </xf>
    <xf numFmtId="0" fontId="9" fillId="0" borderId="23" xfId="4" applyFont="1" applyBorder="1" applyAlignment="1">
      <alignment horizontal="center" vertical="center" wrapText="1"/>
    </xf>
    <xf numFmtId="0" fontId="9" fillId="0" borderId="29" xfId="4" applyFont="1" applyBorder="1" applyAlignment="1">
      <alignment horizontal="center" vertical="center" wrapText="1"/>
    </xf>
    <xf numFmtId="0" fontId="4" fillId="0" borderId="22" xfId="4" applyNumberFormat="1" applyFont="1" applyBorder="1" applyAlignment="1">
      <alignment horizontal="center" vertical="justify" wrapText="1"/>
    </xf>
    <xf numFmtId="0" fontId="4" fillId="0" borderId="23" xfId="4" applyNumberFormat="1" applyFont="1" applyBorder="1" applyAlignment="1">
      <alignment horizontal="center" vertical="justify" wrapText="1"/>
    </xf>
    <xf numFmtId="0" fontId="16" fillId="0" borderId="23" xfId="4" applyFont="1" applyBorder="1" applyAlignment="1">
      <alignment horizontal="center" vertical="center" wrapText="1"/>
    </xf>
    <xf numFmtId="0" fontId="16" fillId="0" borderId="29" xfId="4" applyFont="1" applyBorder="1" applyAlignment="1">
      <alignment horizontal="center" vertical="center" wrapText="1"/>
    </xf>
    <xf numFmtId="0" fontId="34" fillId="0" borderId="23" xfId="4" applyNumberFormat="1" applyFont="1" applyBorder="1" applyAlignment="1">
      <alignment horizontal="center" vertical="center" wrapText="1"/>
    </xf>
    <xf numFmtId="0" fontId="34" fillId="0" borderId="40" xfId="4" applyNumberFormat="1" applyFont="1" applyBorder="1" applyAlignment="1">
      <alignment horizontal="center" vertical="center" wrapText="1"/>
    </xf>
    <xf numFmtId="0" fontId="4" fillId="0" borderId="13" xfId="4" applyNumberFormat="1" applyFont="1" applyBorder="1" applyAlignment="1">
      <alignment horizontal="center" vertical="center" wrapText="1"/>
    </xf>
    <xf numFmtId="0" fontId="4" fillId="0" borderId="26" xfId="4" applyNumberFormat="1" applyFont="1" applyBorder="1" applyAlignment="1">
      <alignment horizontal="center" vertical="center" wrapText="1"/>
    </xf>
    <xf numFmtId="0" fontId="4" fillId="0" borderId="18" xfId="4" applyNumberFormat="1" applyFont="1" applyBorder="1" applyAlignment="1">
      <alignment horizontal="center" vertical="center" wrapText="1"/>
    </xf>
    <xf numFmtId="0" fontId="4" fillId="0" borderId="19" xfId="4" applyNumberFormat="1" applyFont="1" applyBorder="1" applyAlignment="1">
      <alignment horizontal="center" vertical="center" wrapText="1"/>
    </xf>
    <xf numFmtId="0" fontId="33" fillId="0" borderId="1" xfId="3" applyNumberFormat="1" applyFont="1" applyFill="1" applyBorder="1" applyAlignment="1" applyProtection="1">
      <alignment vertical="center" wrapText="1"/>
    </xf>
    <xf numFmtId="0" fontId="34" fillId="0" borderId="31" xfId="4" applyNumberFormat="1" applyFont="1" applyFill="1" applyBorder="1" applyAlignment="1">
      <alignment vertical="center" wrapText="1"/>
    </xf>
    <xf numFmtId="0" fontId="34" fillId="0" borderId="32" xfId="4" applyNumberFormat="1" applyFont="1" applyFill="1" applyBorder="1" applyAlignment="1">
      <alignment vertical="center" wrapText="1"/>
    </xf>
    <xf numFmtId="0" fontId="34" fillId="0" borderId="33" xfId="4" applyNumberFormat="1" applyFont="1" applyFill="1" applyBorder="1" applyAlignment="1">
      <alignment vertical="center" wrapText="1"/>
    </xf>
    <xf numFmtId="0" fontId="16" fillId="0" borderId="13" xfId="4" applyNumberFormat="1" applyFont="1" applyBorder="1" applyAlignment="1">
      <alignment horizontal="center" vertical="center" wrapText="1"/>
    </xf>
    <xf numFmtId="0" fontId="16" fillId="0" borderId="15" xfId="4" applyNumberFormat="1" applyFont="1" applyBorder="1" applyAlignment="1">
      <alignment horizontal="center" vertical="center" wrapText="1"/>
    </xf>
    <xf numFmtId="0" fontId="16" fillId="0" borderId="41" xfId="4" applyNumberFormat="1" applyFont="1" applyBorder="1" applyAlignment="1">
      <alignment horizontal="center" vertical="center" wrapText="1"/>
    </xf>
    <xf numFmtId="0" fontId="16" fillId="0" borderId="33" xfId="4" applyNumberFormat="1" applyFont="1" applyBorder="1" applyAlignment="1">
      <alignment horizontal="center" vertical="center" wrapText="1"/>
    </xf>
    <xf numFmtId="0" fontId="4" fillId="3" borderId="13" xfId="4" applyNumberFormat="1" applyFont="1" applyFill="1" applyBorder="1" applyAlignment="1">
      <alignment horizontal="center" vertical="center" wrapText="1"/>
    </xf>
    <xf numFmtId="0" fontId="4" fillId="3" borderId="26" xfId="4" applyNumberFormat="1" applyFont="1" applyFill="1" applyBorder="1" applyAlignment="1">
      <alignment horizontal="center" vertical="center" wrapText="1"/>
    </xf>
    <xf numFmtId="0" fontId="4" fillId="3" borderId="18" xfId="4" applyNumberFormat="1" applyFont="1" applyFill="1" applyBorder="1" applyAlignment="1">
      <alignment horizontal="center" vertical="center" wrapText="1"/>
    </xf>
    <xf numFmtId="0" fontId="4" fillId="3" borderId="19" xfId="4" applyNumberFormat="1" applyFont="1" applyFill="1" applyBorder="1" applyAlignment="1">
      <alignment horizontal="center" vertical="center" wrapText="1"/>
    </xf>
    <xf numFmtId="9" fontId="8" fillId="0" borderId="13" xfId="2" applyNumberFormat="1" applyFont="1" applyBorder="1" applyAlignment="1">
      <alignment horizontal="center" vertical="top" wrapText="1"/>
    </xf>
    <xf numFmtId="0" fontId="8" fillId="0" borderId="14" xfId="2" applyNumberFormat="1" applyFont="1" applyBorder="1" applyAlignment="1">
      <alignment horizontal="center" vertical="top" wrapText="1"/>
    </xf>
    <xf numFmtId="0" fontId="8" fillId="0" borderId="15" xfId="2" applyNumberFormat="1" applyFont="1" applyBorder="1" applyAlignment="1">
      <alignment horizontal="center" vertical="top" wrapText="1"/>
    </xf>
    <xf numFmtId="0" fontId="8" fillId="0" borderId="11" xfId="2" applyNumberFormat="1" applyFont="1" applyBorder="1" applyAlignment="1">
      <alignment horizontal="center" vertical="top" wrapText="1"/>
    </xf>
    <xf numFmtId="0" fontId="8" fillId="0" borderId="0" xfId="2" applyNumberFormat="1" applyFont="1" applyBorder="1" applyAlignment="1">
      <alignment horizontal="center" vertical="top" wrapText="1"/>
    </xf>
    <xf numFmtId="0" fontId="8" fillId="0" borderId="39" xfId="2" applyNumberFormat="1" applyFont="1" applyBorder="1" applyAlignment="1">
      <alignment horizontal="center" vertical="top" wrapText="1"/>
    </xf>
    <xf numFmtId="0" fontId="8" fillId="0" borderId="18" xfId="2" applyNumberFormat="1" applyFont="1" applyBorder="1" applyAlignment="1">
      <alignment horizontal="center" vertical="top" wrapText="1"/>
    </xf>
    <xf numFmtId="0" fontId="8" fillId="0" borderId="17" xfId="2" applyNumberFormat="1" applyFont="1" applyBorder="1" applyAlignment="1">
      <alignment horizontal="center" vertical="top" wrapText="1"/>
    </xf>
    <xf numFmtId="0" fontId="8" fillId="0" borderId="20" xfId="2" applyNumberFormat="1" applyFont="1" applyBorder="1" applyAlignment="1">
      <alignment horizontal="center" vertical="top" wrapText="1"/>
    </xf>
    <xf numFmtId="0" fontId="25" fillId="2" borderId="1" xfId="4" applyFont="1" applyFill="1" applyBorder="1" applyAlignment="1">
      <alignment horizontal="center" vertical="center" wrapText="1"/>
    </xf>
    <xf numFmtId="0" fontId="25" fillId="2" borderId="2" xfId="4" applyFont="1" applyFill="1" applyBorder="1" applyAlignment="1">
      <alignment horizontal="center" vertical="center" wrapText="1"/>
    </xf>
    <xf numFmtId="0" fontId="25" fillId="2" borderId="6" xfId="4" applyFont="1" applyFill="1" applyBorder="1" applyAlignment="1">
      <alignment horizontal="center" vertical="center" wrapText="1"/>
    </xf>
    <xf numFmtId="0" fontId="5" fillId="0" borderId="11" xfId="4" applyNumberFormat="1" applyFont="1" applyBorder="1" applyAlignment="1">
      <alignment horizontal="center" vertical="center"/>
    </xf>
    <xf numFmtId="0" fontId="5" fillId="0" borderId="12" xfId="4" applyNumberFormat="1" applyFont="1" applyBorder="1" applyAlignment="1">
      <alignment horizontal="center" vertical="center"/>
    </xf>
    <xf numFmtId="0" fontId="5" fillId="0" borderId="18" xfId="4" applyNumberFormat="1" applyFont="1" applyBorder="1" applyAlignment="1">
      <alignment horizontal="center" vertical="center"/>
    </xf>
    <xf numFmtId="0" fontId="5" fillId="0" borderId="19" xfId="4" applyNumberFormat="1" applyFont="1" applyBorder="1" applyAlignment="1">
      <alignment horizontal="center" vertical="center"/>
    </xf>
    <xf numFmtId="0" fontId="5" fillId="0" borderId="17" xfId="4" applyNumberFormat="1" applyFont="1" applyBorder="1" applyAlignment="1">
      <alignment horizontal="center" vertical="center"/>
    </xf>
    <xf numFmtId="1" fontId="6" fillId="0" borderId="13" xfId="4" applyNumberFormat="1" applyFont="1" applyBorder="1" applyAlignment="1">
      <alignment horizontal="center" vertical="center" wrapText="1"/>
    </xf>
    <xf numFmtId="0" fontId="6" fillId="0" borderId="14" xfId="4" applyNumberFormat="1" applyFont="1" applyBorder="1" applyAlignment="1">
      <alignment horizontal="center" vertical="center" wrapText="1"/>
    </xf>
    <xf numFmtId="0" fontId="6" fillId="0" borderId="15" xfId="4" applyNumberFormat="1" applyFont="1" applyBorder="1" applyAlignment="1">
      <alignment horizontal="center" vertical="center" wrapText="1"/>
    </xf>
    <xf numFmtId="0" fontId="6" fillId="0" borderId="18" xfId="4" applyNumberFormat="1" applyFont="1" applyBorder="1" applyAlignment="1">
      <alignment horizontal="center" vertical="center" wrapText="1"/>
    </xf>
    <xf numFmtId="0" fontId="6" fillId="0" borderId="17" xfId="4" applyNumberFormat="1" applyFont="1" applyBorder="1" applyAlignment="1">
      <alignment horizontal="center" vertical="center" wrapText="1"/>
    </xf>
    <xf numFmtId="0" fontId="6" fillId="0" borderId="20" xfId="4" applyNumberFormat="1" applyFont="1" applyBorder="1" applyAlignment="1">
      <alignment horizontal="center" vertical="center" wrapText="1"/>
    </xf>
    <xf numFmtId="0" fontId="4" fillId="3" borderId="13" xfId="4" applyFont="1" applyFill="1" applyBorder="1" applyAlignment="1">
      <alignment horizontal="center" vertical="center" wrapText="1"/>
    </xf>
    <xf numFmtId="0" fontId="4" fillId="3" borderId="26" xfId="4" applyFont="1" applyFill="1" applyBorder="1" applyAlignment="1">
      <alignment horizontal="center" vertical="center" wrapText="1"/>
    </xf>
    <xf numFmtId="0" fontId="4" fillId="3" borderId="18" xfId="4" applyFont="1" applyFill="1" applyBorder="1" applyAlignment="1">
      <alignment horizontal="center" vertical="center" wrapText="1"/>
    </xf>
    <xf numFmtId="0" fontId="4" fillId="3" borderId="19" xfId="4" applyFont="1" applyFill="1" applyBorder="1" applyAlignment="1">
      <alignment horizontal="center" vertical="center" wrapText="1"/>
    </xf>
    <xf numFmtId="0" fontId="14" fillId="0" borderId="1" xfId="4" applyFont="1" applyFill="1" applyBorder="1" applyAlignment="1">
      <alignment horizontal="center" vertical="center" wrapText="1"/>
    </xf>
    <xf numFmtId="0" fontId="14" fillId="0" borderId="31" xfId="4" applyFont="1" applyFill="1" applyBorder="1" applyAlignment="1">
      <alignment horizontal="center" vertical="center" wrapText="1"/>
    </xf>
    <xf numFmtId="0" fontId="14" fillId="0" borderId="32" xfId="4" applyFont="1" applyFill="1" applyBorder="1" applyAlignment="1">
      <alignment horizontal="center" vertical="center" wrapText="1"/>
    </xf>
    <xf numFmtId="0" fontId="14" fillId="0" borderId="33" xfId="4" applyFont="1" applyFill="1" applyBorder="1" applyAlignment="1">
      <alignment horizontal="center" vertical="center" wrapText="1"/>
    </xf>
    <xf numFmtId="0" fontId="2" fillId="0" borderId="13" xfId="4" applyFont="1" applyBorder="1" applyAlignment="1">
      <alignment horizontal="center" vertical="center" wrapText="1"/>
    </xf>
    <xf numFmtId="0" fontId="2" fillId="0" borderId="15" xfId="4" applyFont="1" applyBorder="1" applyAlignment="1">
      <alignment horizontal="center" vertical="center" wrapText="1"/>
    </xf>
    <xf numFmtId="0" fontId="2" fillId="0" borderId="18" xfId="4" applyFont="1" applyBorder="1" applyAlignment="1">
      <alignment horizontal="center" vertical="center" wrapText="1"/>
    </xf>
    <xf numFmtId="0" fontId="2" fillId="0" borderId="20" xfId="4" applyFont="1" applyBorder="1" applyAlignment="1">
      <alignment horizontal="center" vertical="center" wrapText="1"/>
    </xf>
    <xf numFmtId="0" fontId="1" fillId="2" borderId="1" xfId="4" applyFont="1" applyFill="1" applyBorder="1" applyAlignment="1">
      <alignment horizontal="center" vertical="center" wrapText="1"/>
    </xf>
    <xf numFmtId="0" fontId="1" fillId="2" borderId="2" xfId="4" applyFont="1" applyFill="1" applyBorder="1" applyAlignment="1">
      <alignment horizontal="center" vertical="center" wrapText="1"/>
    </xf>
    <xf numFmtId="0" fontId="1" fillId="2" borderId="6" xfId="4" applyFont="1" applyFill="1" applyBorder="1" applyAlignment="1">
      <alignment horizontal="center" vertical="center" wrapText="1"/>
    </xf>
    <xf numFmtId="0" fontId="2" fillId="0" borderId="11" xfId="4" applyFont="1" applyBorder="1" applyAlignment="1">
      <alignment horizontal="center" vertical="center"/>
    </xf>
    <xf numFmtId="0" fontId="2" fillId="0" borderId="12" xfId="4" applyFont="1" applyBorder="1" applyAlignment="1">
      <alignment horizontal="center" vertical="center"/>
    </xf>
    <xf numFmtId="0" fontId="2" fillId="0" borderId="18" xfId="4" applyFont="1" applyBorder="1" applyAlignment="1">
      <alignment horizontal="center" vertical="center"/>
    </xf>
    <xf numFmtId="0" fontId="2" fillId="0" borderId="19" xfId="4" applyFont="1" applyBorder="1" applyAlignment="1">
      <alignment horizontal="center" vertical="center"/>
    </xf>
    <xf numFmtId="0" fontId="5" fillId="0" borderId="12" xfId="4" applyFont="1" applyBorder="1" applyAlignment="1">
      <alignment horizontal="center" vertical="center"/>
    </xf>
    <xf numFmtId="0" fontId="5" fillId="0" borderId="17" xfId="4" applyFont="1" applyBorder="1" applyAlignment="1">
      <alignment horizontal="center" vertical="center"/>
    </xf>
    <xf numFmtId="0" fontId="5" fillId="0" borderId="19" xfId="4" applyFont="1" applyBorder="1" applyAlignment="1">
      <alignment horizontal="center" vertical="center"/>
    </xf>
    <xf numFmtId="0" fontId="6" fillId="0" borderId="14" xfId="4" applyFont="1" applyBorder="1" applyAlignment="1">
      <alignment horizontal="center" vertical="center" wrapText="1"/>
    </xf>
    <xf numFmtId="0" fontId="6" fillId="0" borderId="15" xfId="4" applyFont="1" applyBorder="1" applyAlignment="1">
      <alignment horizontal="center" vertical="center" wrapText="1"/>
    </xf>
    <xf numFmtId="0" fontId="6" fillId="0" borderId="18" xfId="4" applyFont="1" applyBorder="1" applyAlignment="1">
      <alignment horizontal="center" vertical="center" wrapText="1"/>
    </xf>
    <xf numFmtId="0" fontId="6" fillId="0" borderId="17" xfId="4" applyFont="1" applyBorder="1" applyAlignment="1">
      <alignment horizontal="center" vertical="center" wrapText="1"/>
    </xf>
    <xf numFmtId="0" fontId="6" fillId="0" borderId="20" xfId="4" applyFont="1" applyBorder="1" applyAlignment="1">
      <alignment horizontal="center" vertical="center" wrapText="1"/>
    </xf>
    <xf numFmtId="9" fontId="8" fillId="0" borderId="22" xfId="2" applyFont="1" applyBorder="1" applyAlignment="1">
      <alignment horizontal="center" vertical="top" wrapText="1"/>
    </xf>
    <xf numFmtId="9" fontId="8" fillId="0" borderId="24" xfId="2" applyFont="1" applyBorder="1" applyAlignment="1">
      <alignment horizontal="center" vertical="top" wrapText="1"/>
    </xf>
    <xf numFmtId="9" fontId="9" fillId="0" borderId="13" xfId="2" applyFont="1" applyBorder="1" applyAlignment="1">
      <alignment horizontal="center" vertical="top" wrapText="1"/>
    </xf>
    <xf numFmtId="9" fontId="9" fillId="0" borderId="26" xfId="2" applyFont="1" applyBorder="1" applyAlignment="1">
      <alignment horizontal="center" vertical="top" wrapText="1"/>
    </xf>
    <xf numFmtId="9" fontId="9" fillId="0" borderId="18" xfId="2" applyFont="1" applyBorder="1" applyAlignment="1">
      <alignment horizontal="center" vertical="top" wrapText="1"/>
    </xf>
    <xf numFmtId="9" fontId="9" fillId="0" borderId="19" xfId="2" applyFont="1" applyBorder="1" applyAlignment="1">
      <alignment horizontal="center" vertical="top" wrapText="1"/>
    </xf>
    <xf numFmtId="0" fontId="101" fillId="4" borderId="0" xfId="4" applyFont="1" applyFill="1" applyBorder="1" applyAlignment="1">
      <alignment horizontal="left" vertical="center" wrapText="1"/>
    </xf>
    <xf numFmtId="0" fontId="103" fillId="0" borderId="0" xfId="4" applyNumberFormat="1" applyFont="1" applyBorder="1" applyAlignment="1">
      <alignment horizontal="center" vertical="justify" wrapText="1"/>
    </xf>
    <xf numFmtId="0" fontId="104" fillId="0" borderId="0" xfId="4" applyNumberFormat="1" applyFont="1" applyBorder="1" applyAlignment="1">
      <alignment horizontal="center" vertical="justify" wrapText="1"/>
    </xf>
    <xf numFmtId="0" fontId="105" fillId="0" borderId="0" xfId="0" applyNumberFormat="1" applyFont="1" applyBorder="1" applyAlignment="1">
      <alignment horizontal="center"/>
    </xf>
    <xf numFmtId="0" fontId="106" fillId="4" borderId="0" xfId="4" applyFont="1" applyFill="1" applyBorder="1" applyAlignment="1">
      <alignment horizontal="center" vertical="center" wrapText="1"/>
    </xf>
    <xf numFmtId="0" fontId="107" fillId="4" borderId="0" xfId="4" applyFont="1" applyFill="1" applyBorder="1" applyAlignment="1">
      <alignment horizontal="left" vertical="center"/>
    </xf>
    <xf numFmtId="0" fontId="102" fillId="5" borderId="0" xfId="0" applyNumberFormat="1" applyFont="1" applyFill="1" applyBorder="1" applyAlignment="1">
      <alignment horizontal="left" vertical="center"/>
    </xf>
    <xf numFmtId="0" fontId="104" fillId="0" borderId="30" xfId="4" applyFont="1" applyBorder="1" applyAlignment="1">
      <alignment horizontal="center" vertical="justify" wrapText="1"/>
    </xf>
    <xf numFmtId="0" fontId="104" fillId="0" borderId="14" xfId="4" applyFont="1" applyBorder="1" applyAlignment="1">
      <alignment horizontal="center" vertical="justify" wrapText="1"/>
    </xf>
    <xf numFmtId="0" fontId="104" fillId="0" borderId="26" xfId="4" applyFont="1" applyBorder="1" applyAlignment="1">
      <alignment horizontal="center" vertical="justify" wrapText="1"/>
    </xf>
  </cellXfs>
  <cellStyles count="5">
    <cellStyle name="Currency" xfId="1" builtinId="4"/>
    <cellStyle name="Explanatory Text" xfId="4" builtinId="53"/>
    <cellStyle name="Hyperlink" xfId="3" builtinId="8"/>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5" Type="http://schemas.openxmlformats.org/officeDocument/2006/relationships/image" Target="../media/image5.pn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xdr:col>
      <xdr:colOff>59121</xdr:colOff>
      <xdr:row>38</xdr:row>
      <xdr:rowOff>80596</xdr:rowOff>
    </xdr:from>
    <xdr:to>
      <xdr:col>3</xdr:col>
      <xdr:colOff>1043609</xdr:colOff>
      <xdr:row>44</xdr:row>
      <xdr:rowOff>215347</xdr:rowOff>
    </xdr:to>
    <xdr:pic>
      <xdr:nvPicPr>
        <xdr:cNvPr id="8" name="Picture 7" descr="WhatsApp Image 2022-02-11 at 12.36.44 AM.jpeg"/>
        <xdr:cNvPicPr>
          <a:picLocks noChangeAspect="1"/>
        </xdr:cNvPicPr>
      </xdr:nvPicPr>
      <xdr:blipFill>
        <a:blip xmlns:r="http://schemas.openxmlformats.org/officeDocument/2006/relationships" r:embed="rId1"/>
        <a:stretch>
          <a:fillRect/>
        </a:stretch>
      </xdr:blipFill>
      <xdr:spPr>
        <a:xfrm>
          <a:off x="796273" y="9887205"/>
          <a:ext cx="2674140" cy="987859"/>
        </a:xfrm>
        <a:prstGeom prst="rect">
          <a:avLst/>
        </a:prstGeom>
      </xdr:spPr>
    </xdr:pic>
    <xdr:clientData/>
  </xdr:twoCellAnchor>
  <xdr:twoCellAnchor editAs="oneCell">
    <xdr:from>
      <xdr:col>1</xdr:col>
      <xdr:colOff>85397</xdr:colOff>
      <xdr:row>59</xdr:row>
      <xdr:rowOff>19706</xdr:rowOff>
    </xdr:from>
    <xdr:to>
      <xdr:col>3</xdr:col>
      <xdr:colOff>983830</xdr:colOff>
      <xdr:row>64</xdr:row>
      <xdr:rowOff>243052</xdr:rowOff>
    </xdr:to>
    <xdr:pic>
      <xdr:nvPicPr>
        <xdr:cNvPr id="9" name="Picture 8" descr="WhatsApp Image 2022-02-11 at 12.36.44 AM.jpeg"/>
        <xdr:cNvPicPr>
          <a:picLocks noChangeAspect="1"/>
        </xdr:cNvPicPr>
      </xdr:nvPicPr>
      <xdr:blipFill>
        <a:blip xmlns:r="http://schemas.openxmlformats.org/officeDocument/2006/relationships" r:embed="rId1"/>
        <a:stretch>
          <a:fillRect/>
        </a:stretch>
      </xdr:blipFill>
      <xdr:spPr>
        <a:xfrm>
          <a:off x="818515" y="15415895"/>
          <a:ext cx="2593975" cy="1019175"/>
        </a:xfrm>
        <a:prstGeom prst="rect">
          <a:avLst/>
        </a:prstGeom>
      </xdr:spPr>
    </xdr:pic>
    <xdr:clientData/>
  </xdr:twoCellAnchor>
  <xdr:twoCellAnchor editAs="oneCell">
    <xdr:from>
      <xdr:col>1</xdr:col>
      <xdr:colOff>146316</xdr:colOff>
      <xdr:row>79</xdr:row>
      <xdr:rowOff>112282</xdr:rowOff>
    </xdr:from>
    <xdr:to>
      <xdr:col>3</xdr:col>
      <xdr:colOff>1010860</xdr:colOff>
      <xdr:row>82</xdr:row>
      <xdr:rowOff>127553</xdr:rowOff>
    </xdr:to>
    <xdr:pic>
      <xdr:nvPicPr>
        <xdr:cNvPr id="10" name="Picture 9" descr="WhatsApp Image 2022-02-11 at 12.36.44 AM.jpeg"/>
        <xdr:cNvPicPr>
          <a:picLocks noChangeAspect="1"/>
        </xdr:cNvPicPr>
      </xdr:nvPicPr>
      <xdr:blipFill>
        <a:blip xmlns:r="http://schemas.openxmlformats.org/officeDocument/2006/relationships" r:embed="rId1"/>
        <a:stretch>
          <a:fillRect/>
        </a:stretch>
      </xdr:blipFill>
      <xdr:spPr>
        <a:xfrm>
          <a:off x="879475" y="20297140"/>
          <a:ext cx="2559685" cy="908685"/>
        </a:xfrm>
        <a:prstGeom prst="rect">
          <a:avLst/>
        </a:prstGeom>
      </xdr:spPr>
    </xdr:pic>
    <xdr:clientData/>
  </xdr:twoCellAnchor>
  <xdr:twoCellAnchor editAs="oneCell">
    <xdr:from>
      <xdr:col>3</xdr:col>
      <xdr:colOff>696309</xdr:colOff>
      <xdr:row>58</xdr:row>
      <xdr:rowOff>45982</xdr:rowOff>
    </xdr:from>
    <xdr:to>
      <xdr:col>4</xdr:col>
      <xdr:colOff>88426</xdr:colOff>
      <xdr:row>58</xdr:row>
      <xdr:rowOff>295603</xdr:rowOff>
    </xdr:to>
    <xdr:pic>
      <xdr:nvPicPr>
        <xdr:cNvPr id="2" name="Picture 1"/>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24835" y="15118080"/>
          <a:ext cx="516255" cy="249555"/>
        </a:xfrm>
        <a:prstGeom prst="rect">
          <a:avLst/>
        </a:prstGeom>
      </xdr:spPr>
    </xdr:pic>
    <xdr:clientData/>
  </xdr:twoCellAnchor>
  <xdr:twoCellAnchor editAs="oneCell">
    <xdr:from>
      <xdr:col>3</xdr:col>
      <xdr:colOff>729156</xdr:colOff>
      <xdr:row>78</xdr:row>
      <xdr:rowOff>13138</xdr:rowOff>
    </xdr:from>
    <xdr:to>
      <xdr:col>4</xdr:col>
      <xdr:colOff>121273</xdr:colOff>
      <xdr:row>78</xdr:row>
      <xdr:rowOff>216776</xdr:rowOff>
    </xdr:to>
    <xdr:pic>
      <xdr:nvPicPr>
        <xdr:cNvPr id="11" name="Picture 10"/>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157855" y="19912330"/>
          <a:ext cx="515620" cy="203835"/>
        </a:xfrm>
        <a:prstGeom prst="rect">
          <a:avLst/>
        </a:prstGeom>
      </xdr:spPr>
    </xdr:pic>
    <xdr:clientData/>
  </xdr:twoCellAnchor>
  <xdr:twoCellAnchor editAs="oneCell">
    <xdr:from>
      <xdr:col>3</xdr:col>
      <xdr:colOff>391901</xdr:colOff>
      <xdr:row>95</xdr:row>
      <xdr:rowOff>11426</xdr:rowOff>
    </xdr:from>
    <xdr:to>
      <xdr:col>3</xdr:col>
      <xdr:colOff>687457</xdr:colOff>
      <xdr:row>95</xdr:row>
      <xdr:rowOff>231913</xdr:rowOff>
    </xdr:to>
    <xdr:pic>
      <xdr:nvPicPr>
        <xdr:cNvPr id="14" name="Picture 13"/>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818705" y="24006143"/>
          <a:ext cx="295556" cy="220487"/>
        </a:xfrm>
        <a:prstGeom prst="rect">
          <a:avLst/>
        </a:prstGeom>
      </xdr:spPr>
    </xdr:pic>
    <xdr:clientData/>
  </xdr:twoCellAnchor>
  <xdr:twoCellAnchor editAs="oneCell">
    <xdr:from>
      <xdr:col>3</xdr:col>
      <xdr:colOff>476250</xdr:colOff>
      <xdr:row>91</xdr:row>
      <xdr:rowOff>57979</xdr:rowOff>
    </xdr:from>
    <xdr:to>
      <xdr:col>6</xdr:col>
      <xdr:colOff>74544</xdr:colOff>
      <xdr:row>93</xdr:row>
      <xdr:rowOff>161193</xdr:rowOff>
    </xdr:to>
    <xdr:pic>
      <xdr:nvPicPr>
        <xdr:cNvPr id="3" name="Picture 2"/>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905125" y="23190200"/>
          <a:ext cx="1969770" cy="66484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141514</xdr:colOff>
      <xdr:row>0</xdr:row>
      <xdr:rowOff>43543</xdr:rowOff>
    </xdr:from>
    <xdr:to>
      <xdr:col>2</xdr:col>
      <xdr:colOff>1110342</xdr:colOff>
      <xdr:row>3</xdr:row>
      <xdr:rowOff>19693</xdr:rowOff>
    </xdr:to>
    <xdr:pic>
      <xdr:nvPicPr>
        <xdr:cNvPr id="4" name="Picture 4"/>
        <xdr:cNvPicPr>
          <a:picLocks noChangeAspect="1" noChangeArrowheads="1"/>
        </xdr:cNvPicPr>
      </xdr:nvPicPr>
      <xdr:blipFill>
        <a:blip xmlns:r="http://schemas.openxmlformats.org/officeDocument/2006/relationships" r:embed="rId1" cstate="print"/>
        <a:srcRect/>
        <a:stretch>
          <a:fillRect/>
        </a:stretch>
      </xdr:blipFill>
      <xdr:spPr>
        <a:xfrm>
          <a:off x="140970" y="43180"/>
          <a:ext cx="2178685" cy="593725"/>
        </a:xfrm>
        <a:prstGeom prst="rect">
          <a:avLst/>
        </a:prstGeom>
        <a:noFill/>
        <a:ln w="1">
          <a:noFill/>
          <a:miter lim="800000"/>
          <a:headEnd/>
          <a:tailEnd type="none" w="med" len="med"/>
        </a:ln>
        <a:effectLst/>
      </xdr:spPr>
    </xdr:pic>
    <xdr:clientData/>
  </xdr:twoCellAnchor>
  <xdr:twoCellAnchor editAs="oneCell">
    <xdr:from>
      <xdr:col>0</xdr:col>
      <xdr:colOff>119743</xdr:colOff>
      <xdr:row>20</xdr:row>
      <xdr:rowOff>54428</xdr:rowOff>
    </xdr:from>
    <xdr:to>
      <xdr:col>2</xdr:col>
      <xdr:colOff>1088571</xdr:colOff>
      <xdr:row>22</xdr:row>
      <xdr:rowOff>226521</xdr:rowOff>
    </xdr:to>
    <xdr:pic>
      <xdr:nvPicPr>
        <xdr:cNvPr id="5" name="Picture 4"/>
        <xdr:cNvPicPr>
          <a:picLocks noChangeAspect="1" noChangeArrowheads="1"/>
        </xdr:cNvPicPr>
      </xdr:nvPicPr>
      <xdr:blipFill>
        <a:blip xmlns:r="http://schemas.openxmlformats.org/officeDocument/2006/relationships" r:embed="rId1" cstate="print"/>
        <a:srcRect/>
        <a:stretch>
          <a:fillRect/>
        </a:stretch>
      </xdr:blipFill>
      <xdr:spPr>
        <a:xfrm>
          <a:off x="119380" y="5068570"/>
          <a:ext cx="2178685" cy="605790"/>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R123"/>
  <sheetViews>
    <sheetView tabSelected="1" view="pageBreakPreview" topLeftCell="B22" zoomScale="115" zoomScaleNormal="74" workbookViewId="0">
      <selection activeCell="H39" sqref="H39"/>
    </sheetView>
  </sheetViews>
  <sheetFormatPr defaultColWidth="9.140625" defaultRowHeight="20.100000000000001" customHeight="1"/>
  <cols>
    <col min="1" max="1" width="11" style="33" customWidth="1"/>
    <col min="2" max="2" width="8.85546875" style="33" customWidth="1"/>
    <col min="3" max="3" width="16.5703125" style="33" customWidth="1"/>
    <col min="4" max="4" width="16.85546875" style="33" customWidth="1"/>
    <col min="5" max="5" width="9.85546875" style="33" customWidth="1"/>
    <col min="6" max="6" width="8.85546875" style="33" customWidth="1"/>
    <col min="7" max="7" width="7.7109375" style="33" customWidth="1"/>
    <col min="8" max="8" width="8.5703125" style="33" customWidth="1"/>
    <col min="9" max="9" width="8" style="33" customWidth="1"/>
    <col min="10" max="10" width="6.42578125" style="33" customWidth="1"/>
    <col min="11" max="11" width="11.5703125" style="33" customWidth="1"/>
    <col min="12" max="12" width="6" style="33" customWidth="1"/>
    <col min="13" max="13" width="4.5703125" style="33" customWidth="1"/>
    <col min="14" max="14" width="9.140625" style="33"/>
    <col min="15" max="15" width="9.5703125" style="33" customWidth="1"/>
    <col min="16" max="16384" width="9.140625" style="33"/>
  </cols>
  <sheetData>
    <row r="2" spans="2:18" ht="24" customHeight="1">
      <c r="B2" s="256" t="s">
        <v>0</v>
      </c>
      <c r="C2" s="257"/>
      <c r="D2" s="257"/>
      <c r="E2" s="108" t="s">
        <v>1</v>
      </c>
      <c r="F2" s="108"/>
      <c r="G2" s="108"/>
      <c r="H2" s="108"/>
      <c r="I2" s="108"/>
      <c r="J2" s="108"/>
      <c r="K2" s="109"/>
      <c r="M2" s="34"/>
      <c r="N2" s="34"/>
      <c r="O2" s="34"/>
      <c r="P2" s="34"/>
      <c r="Q2" s="34"/>
    </row>
    <row r="3" spans="2:18" ht="18.75" customHeight="1">
      <c r="B3" s="258"/>
      <c r="C3" s="259"/>
      <c r="D3" s="259"/>
      <c r="E3" s="110" t="s">
        <v>2</v>
      </c>
      <c r="F3" s="110"/>
      <c r="G3" s="110" t="s">
        <v>3</v>
      </c>
      <c r="H3" s="110"/>
      <c r="I3" s="110" t="s">
        <v>4</v>
      </c>
      <c r="J3" s="110"/>
      <c r="K3" s="111"/>
      <c r="L3" s="34"/>
      <c r="M3" s="35"/>
      <c r="N3" s="36"/>
      <c r="O3" s="37"/>
      <c r="P3" s="34"/>
      <c r="Q3" s="34"/>
    </row>
    <row r="4" spans="2:18" ht="20.100000000000001" customHeight="1">
      <c r="B4" s="258"/>
      <c r="C4" s="259"/>
      <c r="D4" s="259"/>
      <c r="E4" s="260" t="s">
        <v>5</v>
      </c>
      <c r="F4" s="260"/>
      <c r="G4" s="261" t="s">
        <v>6</v>
      </c>
      <c r="H4" s="262"/>
      <c r="I4" s="272" t="s">
        <v>106</v>
      </c>
      <c r="J4" s="272"/>
      <c r="K4" s="273"/>
      <c r="L4" s="34"/>
      <c r="M4" s="35"/>
      <c r="N4" s="36"/>
      <c r="O4" s="37"/>
      <c r="P4" s="34"/>
      <c r="Q4" s="34"/>
      <c r="R4" s="38"/>
    </row>
    <row r="5" spans="2:18" ht="21.75" customHeight="1">
      <c r="B5" s="258"/>
      <c r="C5" s="259"/>
      <c r="D5" s="259"/>
      <c r="E5" s="260"/>
      <c r="F5" s="260"/>
      <c r="G5" s="262"/>
      <c r="H5" s="262"/>
      <c r="I5" s="272"/>
      <c r="J5" s="272"/>
      <c r="K5" s="273"/>
      <c r="L5" s="34"/>
      <c r="M5" s="35"/>
      <c r="N5" s="39"/>
      <c r="O5" s="39"/>
      <c r="P5" s="34"/>
      <c r="Q5" s="34"/>
      <c r="R5" s="38"/>
    </row>
    <row r="6" spans="2:18" ht="20.100000000000001" customHeight="1">
      <c r="B6" s="40" t="s">
        <v>7</v>
      </c>
      <c r="C6" s="112" t="s">
        <v>8</v>
      </c>
      <c r="D6" s="112"/>
      <c r="E6" s="41" t="s">
        <v>9</v>
      </c>
      <c r="F6" s="113" t="s">
        <v>10</v>
      </c>
      <c r="G6" s="114"/>
      <c r="H6" s="114"/>
      <c r="I6" s="114"/>
      <c r="J6" s="114"/>
      <c r="K6" s="115"/>
      <c r="L6" s="34"/>
      <c r="M6" s="35"/>
      <c r="N6" s="39"/>
      <c r="O6" s="39"/>
      <c r="P6" s="34"/>
      <c r="Q6" s="34"/>
      <c r="R6" s="38"/>
    </row>
    <row r="7" spans="2:18" ht="20.100000000000001" customHeight="1">
      <c r="B7" s="42" t="s">
        <v>11</v>
      </c>
      <c r="C7" s="112" t="str">
        <f>C6</f>
        <v>SAAD HAMEED</v>
      </c>
      <c r="D7" s="112"/>
      <c r="E7" s="222" t="s">
        <v>12</v>
      </c>
      <c r="F7" s="263" t="s">
        <v>13</v>
      </c>
      <c r="G7" s="264"/>
      <c r="H7" s="264"/>
      <c r="I7" s="264"/>
      <c r="J7" s="264"/>
      <c r="K7" s="265"/>
      <c r="L7" s="34"/>
      <c r="M7" s="35"/>
      <c r="N7" s="39"/>
      <c r="O7" s="39"/>
      <c r="P7" s="34"/>
      <c r="Q7" s="34"/>
      <c r="R7" s="38"/>
    </row>
    <row r="8" spans="2:18" ht="20.100000000000001" customHeight="1">
      <c r="B8" s="40" t="s">
        <v>14</v>
      </c>
      <c r="C8" s="116" t="s">
        <v>15</v>
      </c>
      <c r="D8" s="116"/>
      <c r="E8" s="223"/>
      <c r="F8" s="266"/>
      <c r="G8" s="267"/>
      <c r="H8" s="267"/>
      <c r="I8" s="267"/>
      <c r="J8" s="267"/>
      <c r="K8" s="268"/>
      <c r="L8" s="34"/>
      <c r="M8" s="35"/>
      <c r="N8" s="39"/>
      <c r="O8" s="39"/>
      <c r="P8" s="34"/>
      <c r="Q8" s="34"/>
      <c r="R8" s="38"/>
    </row>
    <row r="9" spans="2:18" ht="20.100000000000001" customHeight="1">
      <c r="B9" s="40"/>
      <c r="C9" s="116" t="s">
        <v>16</v>
      </c>
      <c r="D9" s="116"/>
      <c r="E9" s="224"/>
      <c r="F9" s="269"/>
      <c r="G9" s="270"/>
      <c r="H9" s="270"/>
      <c r="I9" s="270"/>
      <c r="J9" s="270"/>
      <c r="K9" s="271"/>
      <c r="L9" s="34"/>
      <c r="M9" s="35"/>
      <c r="N9" s="34"/>
      <c r="O9" s="34"/>
      <c r="P9" s="34"/>
      <c r="Q9" s="34"/>
      <c r="R9" s="38"/>
    </row>
    <row r="10" spans="2:18" ht="20.100000000000001" customHeight="1">
      <c r="B10" s="40"/>
      <c r="C10" s="117" t="s">
        <v>17</v>
      </c>
      <c r="D10" s="117"/>
      <c r="E10" s="41" t="s">
        <v>18</v>
      </c>
      <c r="F10" s="118" t="s">
        <v>19</v>
      </c>
      <c r="G10" s="119"/>
      <c r="H10" s="119"/>
      <c r="I10" s="119"/>
      <c r="J10" s="119"/>
      <c r="K10" s="120"/>
      <c r="L10" s="34"/>
      <c r="M10" s="34"/>
      <c r="N10" s="34"/>
      <c r="O10" s="34"/>
      <c r="P10" s="34"/>
      <c r="Q10" s="34"/>
      <c r="R10" s="38"/>
    </row>
    <row r="11" spans="2:18" ht="20.100000000000001" customHeight="1">
      <c r="B11" s="40" t="s">
        <v>20</v>
      </c>
      <c r="C11" s="116" t="s">
        <v>21</v>
      </c>
      <c r="D11" s="116"/>
      <c r="E11" s="41" t="s">
        <v>22</v>
      </c>
      <c r="F11" s="121" t="str">
        <f>E4</f>
        <v>USA</v>
      </c>
      <c r="G11" s="122"/>
      <c r="H11" s="123"/>
      <c r="I11" s="124" t="s">
        <v>23</v>
      </c>
      <c r="J11" s="125"/>
      <c r="K11" s="43">
        <v>91101</v>
      </c>
      <c r="L11" s="34"/>
      <c r="M11" s="44"/>
      <c r="N11" s="34"/>
      <c r="O11" s="34"/>
      <c r="P11" s="34"/>
      <c r="Q11" s="34"/>
      <c r="R11" s="38"/>
    </row>
    <row r="12" spans="2:18" ht="20.100000000000001" customHeight="1">
      <c r="B12" s="45" t="s">
        <v>24</v>
      </c>
      <c r="C12" s="126" t="s">
        <v>25</v>
      </c>
      <c r="D12" s="126"/>
      <c r="E12" s="46" t="s">
        <v>20</v>
      </c>
      <c r="F12" s="127" t="s">
        <v>26</v>
      </c>
      <c r="G12" s="127"/>
      <c r="H12" s="127"/>
      <c r="I12" s="127"/>
      <c r="J12" s="127"/>
      <c r="K12" s="128"/>
      <c r="L12" s="47"/>
      <c r="M12" s="34"/>
      <c r="N12" s="34"/>
      <c r="O12" s="34"/>
      <c r="P12" s="34"/>
      <c r="Q12" s="34"/>
      <c r="R12" s="38"/>
    </row>
    <row r="13" spans="2:18" ht="27" customHeight="1">
      <c r="B13" s="129" t="s">
        <v>20</v>
      </c>
      <c r="C13" s="130"/>
      <c r="D13" s="130"/>
      <c r="E13" s="131"/>
      <c r="F13" s="290" t="s">
        <v>27</v>
      </c>
      <c r="G13" s="291"/>
      <c r="H13" s="48" t="s">
        <v>28</v>
      </c>
      <c r="I13" s="49" t="s">
        <v>29</v>
      </c>
      <c r="J13" s="132" t="s">
        <v>30</v>
      </c>
      <c r="K13" s="133"/>
      <c r="L13" s="34"/>
      <c r="M13" s="34"/>
      <c r="N13" s="34"/>
      <c r="O13" s="34"/>
      <c r="P13" s="34"/>
      <c r="Q13" s="34"/>
      <c r="R13" s="38"/>
    </row>
    <row r="14" spans="2:18" ht="20.100000000000001" customHeight="1">
      <c r="B14" s="134" t="s">
        <v>31</v>
      </c>
      <c r="C14" s="135"/>
      <c r="D14" s="50" t="s">
        <v>32</v>
      </c>
      <c r="E14" s="51" t="s">
        <v>33</v>
      </c>
      <c r="F14" s="292"/>
      <c r="G14" s="293"/>
      <c r="H14" s="227"/>
      <c r="I14" s="232">
        <v>8</v>
      </c>
      <c r="J14" s="286" t="s">
        <v>34</v>
      </c>
      <c r="K14" s="287"/>
      <c r="L14" s="34"/>
      <c r="M14" s="34"/>
      <c r="N14" s="34"/>
      <c r="O14" s="34"/>
      <c r="P14" s="34"/>
      <c r="Q14" s="34"/>
      <c r="R14" s="38"/>
    </row>
    <row r="15" spans="2:18" ht="20.100000000000001" customHeight="1">
      <c r="B15" s="136" t="s">
        <v>35</v>
      </c>
      <c r="C15" s="137"/>
      <c r="D15" s="52">
        <v>46222</v>
      </c>
      <c r="E15" s="53" t="str">
        <f>C6</f>
        <v>SAAD HAMEED</v>
      </c>
      <c r="F15" s="138" t="s">
        <v>36</v>
      </c>
      <c r="G15" s="139"/>
      <c r="H15" s="228"/>
      <c r="I15" s="232"/>
      <c r="J15" s="288"/>
      <c r="K15" s="289"/>
      <c r="L15" s="34"/>
      <c r="M15" s="34"/>
      <c r="N15" s="34"/>
      <c r="O15" s="34"/>
      <c r="P15" s="34"/>
      <c r="Q15" s="34"/>
      <c r="R15" s="38"/>
    </row>
    <row r="16" spans="2:18" ht="20.100000000000001" customHeight="1">
      <c r="B16" s="54" t="s">
        <v>37</v>
      </c>
      <c r="C16" s="140" t="s">
        <v>38</v>
      </c>
      <c r="D16" s="141"/>
      <c r="E16" s="141"/>
      <c r="F16" s="142"/>
      <c r="G16" s="142"/>
      <c r="H16" s="143"/>
      <c r="I16" s="140" t="s">
        <v>39</v>
      </c>
      <c r="J16" s="143"/>
      <c r="K16" s="55" t="s">
        <v>40</v>
      </c>
      <c r="L16" s="34"/>
      <c r="M16" s="34"/>
      <c r="N16" s="34"/>
      <c r="O16" s="34"/>
      <c r="P16" s="34"/>
      <c r="Q16" s="34"/>
      <c r="R16" s="38"/>
    </row>
    <row r="17" spans="2:18" ht="20.100000000000001" customHeight="1">
      <c r="B17" s="54">
        <v>1</v>
      </c>
      <c r="C17" s="144" t="s">
        <v>41</v>
      </c>
      <c r="D17" s="145"/>
      <c r="E17" s="145"/>
      <c r="F17" s="145"/>
      <c r="G17" s="145"/>
      <c r="H17" s="146"/>
      <c r="I17" s="147"/>
      <c r="J17" s="147"/>
      <c r="K17" s="56"/>
      <c r="L17" s="34"/>
      <c r="M17" s="34"/>
      <c r="N17" s="34"/>
      <c r="O17" s="34"/>
      <c r="P17" s="34"/>
      <c r="Q17" s="34"/>
      <c r="R17" s="38"/>
    </row>
    <row r="18" spans="2:18" ht="20.100000000000001" customHeight="1">
      <c r="B18" s="54">
        <f>B17+1</f>
        <v>2</v>
      </c>
      <c r="C18" s="144"/>
      <c r="D18" s="145"/>
      <c r="E18" s="145"/>
      <c r="F18" s="145"/>
      <c r="G18" s="145"/>
      <c r="H18" s="146"/>
      <c r="I18" s="147"/>
      <c r="J18" s="147"/>
      <c r="K18" s="56"/>
      <c r="L18" s="34"/>
      <c r="M18" s="34"/>
      <c r="N18" s="34"/>
      <c r="O18" s="34"/>
      <c r="P18" s="34"/>
      <c r="Q18" s="34"/>
      <c r="R18" s="38"/>
    </row>
    <row r="19" spans="2:18" ht="20.100000000000001" customHeight="1">
      <c r="B19" s="54">
        <f t="shared" ref="B19:B31" si="0">B18+1</f>
        <v>3</v>
      </c>
      <c r="C19" s="148"/>
      <c r="D19" s="149"/>
      <c r="E19" s="149"/>
      <c r="F19" s="149"/>
      <c r="G19" s="149"/>
      <c r="H19" s="150"/>
      <c r="I19" s="147"/>
      <c r="J19" s="147"/>
      <c r="K19" s="57"/>
      <c r="L19" s="34"/>
      <c r="M19" s="34"/>
      <c r="N19" s="34"/>
      <c r="O19" s="34"/>
      <c r="P19" s="34"/>
      <c r="Q19" s="34"/>
      <c r="R19" s="38"/>
    </row>
    <row r="20" spans="2:18" ht="20.100000000000001" customHeight="1">
      <c r="B20" s="54">
        <f t="shared" si="0"/>
        <v>4</v>
      </c>
      <c r="C20" s="148"/>
      <c r="D20" s="149"/>
      <c r="E20" s="149"/>
      <c r="F20" s="149"/>
      <c r="G20" s="149"/>
      <c r="H20" s="150"/>
      <c r="I20" s="147"/>
      <c r="J20" s="147"/>
      <c r="K20" s="57"/>
      <c r="L20" s="34"/>
      <c r="M20" s="34"/>
      <c r="N20" s="34"/>
      <c r="O20" s="34"/>
      <c r="P20" s="34"/>
      <c r="Q20" s="34"/>
      <c r="R20" s="38"/>
    </row>
    <row r="21" spans="2:18" ht="20.100000000000001" customHeight="1">
      <c r="B21" s="54">
        <f t="shared" si="0"/>
        <v>5</v>
      </c>
      <c r="C21" s="148"/>
      <c r="D21" s="149"/>
      <c r="E21" s="149"/>
      <c r="F21" s="149"/>
      <c r="G21" s="149"/>
      <c r="H21" s="150"/>
      <c r="I21" s="147"/>
      <c r="J21" s="147"/>
      <c r="K21" s="57"/>
      <c r="L21" s="34"/>
      <c r="M21" s="34"/>
      <c r="N21" s="34"/>
      <c r="O21" s="34"/>
      <c r="P21" s="34"/>
      <c r="Q21" s="34"/>
      <c r="R21" s="38"/>
    </row>
    <row r="22" spans="2:18" ht="20.100000000000001" customHeight="1">
      <c r="B22" s="54">
        <f t="shared" si="0"/>
        <v>6</v>
      </c>
      <c r="C22" s="148"/>
      <c r="D22" s="149"/>
      <c r="E22" s="149"/>
      <c r="F22" s="149"/>
      <c r="G22" s="149"/>
      <c r="H22" s="150"/>
      <c r="I22" s="147"/>
      <c r="J22" s="147"/>
      <c r="K22" s="57"/>
      <c r="L22" s="34"/>
      <c r="M22" s="34"/>
      <c r="N22" s="34"/>
      <c r="O22" s="34"/>
      <c r="P22" s="34"/>
      <c r="Q22" s="34"/>
      <c r="R22" s="38"/>
    </row>
    <row r="23" spans="2:18" ht="20.100000000000001" customHeight="1">
      <c r="B23" s="54">
        <f t="shared" si="0"/>
        <v>7</v>
      </c>
      <c r="C23" s="148"/>
      <c r="D23" s="149"/>
      <c r="E23" s="149"/>
      <c r="F23" s="149"/>
      <c r="G23" s="149"/>
      <c r="H23" s="150"/>
      <c r="I23" s="147"/>
      <c r="J23" s="147"/>
      <c r="K23" s="57"/>
      <c r="L23" s="34"/>
      <c r="M23" s="34"/>
      <c r="N23" s="34"/>
      <c r="O23" s="34"/>
      <c r="P23" s="34"/>
      <c r="Q23" s="34"/>
      <c r="R23" s="38"/>
    </row>
    <row r="24" spans="2:18" ht="20.100000000000001" customHeight="1">
      <c r="B24" s="54">
        <f t="shared" si="0"/>
        <v>8</v>
      </c>
      <c r="C24" s="148"/>
      <c r="D24" s="149"/>
      <c r="E24" s="149"/>
      <c r="F24" s="149"/>
      <c r="G24" s="149"/>
      <c r="H24" s="150"/>
      <c r="I24" s="147"/>
      <c r="J24" s="147"/>
      <c r="K24" s="57"/>
      <c r="L24" s="34"/>
      <c r="M24" s="34"/>
      <c r="N24" s="34"/>
      <c r="O24" s="34"/>
      <c r="P24" s="34"/>
      <c r="Q24" s="34"/>
      <c r="R24" s="38"/>
    </row>
    <row r="25" spans="2:18" ht="20.100000000000001" customHeight="1">
      <c r="B25" s="54">
        <f t="shared" si="0"/>
        <v>9</v>
      </c>
      <c r="C25" s="148"/>
      <c r="D25" s="149"/>
      <c r="E25" s="149"/>
      <c r="F25" s="149"/>
      <c r="G25" s="149"/>
      <c r="H25" s="150"/>
      <c r="I25" s="147"/>
      <c r="J25" s="147"/>
      <c r="K25" s="57"/>
      <c r="L25" s="34"/>
      <c r="M25" s="34"/>
      <c r="N25" s="34"/>
      <c r="O25" s="34"/>
      <c r="P25" s="34"/>
      <c r="Q25" s="34"/>
      <c r="R25" s="38"/>
    </row>
    <row r="26" spans="2:18" ht="20.100000000000001" customHeight="1">
      <c r="B26" s="54">
        <f t="shared" si="0"/>
        <v>10</v>
      </c>
      <c r="C26" s="148"/>
      <c r="D26" s="149"/>
      <c r="E26" s="149"/>
      <c r="F26" s="149"/>
      <c r="G26" s="149"/>
      <c r="H26" s="150"/>
      <c r="I26" s="147"/>
      <c r="J26" s="147"/>
      <c r="K26" s="57"/>
      <c r="L26" s="34"/>
      <c r="M26" s="34"/>
      <c r="N26" s="34"/>
      <c r="O26" s="34"/>
      <c r="P26" s="34"/>
      <c r="Q26" s="34"/>
      <c r="R26" s="38"/>
    </row>
    <row r="27" spans="2:18" ht="20.100000000000001" customHeight="1">
      <c r="B27" s="54">
        <f t="shared" si="0"/>
        <v>11</v>
      </c>
      <c r="C27" s="148"/>
      <c r="D27" s="149"/>
      <c r="E27" s="149"/>
      <c r="F27" s="149"/>
      <c r="G27" s="149"/>
      <c r="H27" s="150"/>
      <c r="I27" s="147"/>
      <c r="J27" s="147"/>
      <c r="K27" s="57"/>
      <c r="L27" s="34"/>
      <c r="M27" s="34"/>
      <c r="N27" s="34"/>
      <c r="O27" s="34"/>
      <c r="P27" s="34"/>
      <c r="Q27" s="34"/>
      <c r="R27" s="38"/>
    </row>
    <row r="28" spans="2:18" ht="20.100000000000001" customHeight="1">
      <c r="B28" s="54">
        <f t="shared" si="0"/>
        <v>12</v>
      </c>
      <c r="C28" s="151"/>
      <c r="D28" s="151"/>
      <c r="E28" s="151"/>
      <c r="F28" s="151"/>
      <c r="G28" s="151"/>
      <c r="H28" s="151"/>
      <c r="I28" s="147"/>
      <c r="J28" s="147"/>
      <c r="K28" s="57"/>
      <c r="L28" s="34"/>
      <c r="M28" s="34"/>
      <c r="N28" s="34"/>
      <c r="O28" s="34"/>
      <c r="P28" s="34"/>
      <c r="Q28" s="34"/>
      <c r="R28" s="38"/>
    </row>
    <row r="29" spans="2:18" ht="20.100000000000001" customHeight="1">
      <c r="B29" s="54">
        <f t="shared" si="0"/>
        <v>13</v>
      </c>
      <c r="C29" s="152"/>
      <c r="D29" s="153"/>
      <c r="E29" s="153"/>
      <c r="F29" s="153"/>
      <c r="G29" s="153"/>
      <c r="H29" s="154"/>
      <c r="I29" s="147"/>
      <c r="J29" s="147"/>
      <c r="K29" s="57"/>
      <c r="L29" s="34"/>
      <c r="M29" s="34"/>
      <c r="N29" s="34"/>
      <c r="O29" s="34"/>
      <c r="P29" s="34"/>
      <c r="Q29" s="34"/>
      <c r="R29" s="38"/>
    </row>
    <row r="30" spans="2:18" ht="20.100000000000001" customHeight="1">
      <c r="B30" s="54">
        <f t="shared" si="0"/>
        <v>14</v>
      </c>
      <c r="C30" s="148"/>
      <c r="D30" s="149"/>
      <c r="E30" s="149"/>
      <c r="F30" s="149"/>
      <c r="G30" s="149"/>
      <c r="H30" s="150"/>
      <c r="I30" s="147"/>
      <c r="J30" s="147"/>
      <c r="K30" s="57"/>
      <c r="L30" s="34"/>
      <c r="M30" s="34"/>
      <c r="N30" s="34"/>
      <c r="O30" s="34"/>
      <c r="P30" s="34"/>
      <c r="Q30" s="34"/>
      <c r="R30" s="38"/>
    </row>
    <row r="31" spans="2:18" ht="20.100000000000001" customHeight="1">
      <c r="B31" s="54">
        <f t="shared" si="0"/>
        <v>15</v>
      </c>
      <c r="C31" s="148"/>
      <c r="D31" s="149"/>
      <c r="E31" s="149"/>
      <c r="F31" s="149"/>
      <c r="G31" s="149"/>
      <c r="H31" s="150"/>
      <c r="I31" s="147"/>
      <c r="J31" s="147"/>
      <c r="K31" s="57"/>
      <c r="L31" s="34"/>
      <c r="M31" s="34"/>
      <c r="N31" s="34"/>
      <c r="O31" s="34"/>
      <c r="P31" s="34"/>
      <c r="Q31" s="34"/>
      <c r="R31" s="38"/>
    </row>
    <row r="32" spans="2:18" ht="20.100000000000001" customHeight="1">
      <c r="B32" s="155"/>
      <c r="C32" s="156"/>
      <c r="D32" s="156"/>
      <c r="E32" s="156"/>
      <c r="F32" s="156"/>
      <c r="G32" s="156"/>
      <c r="H32" s="157"/>
      <c r="I32" s="140" t="s">
        <v>42</v>
      </c>
      <c r="J32" s="143"/>
      <c r="K32" s="56">
        <f>SUM(K17:K31)</f>
        <v>0</v>
      </c>
      <c r="L32" s="34"/>
      <c r="M32" s="34"/>
      <c r="N32" s="34"/>
      <c r="O32" s="34"/>
      <c r="P32" s="34"/>
      <c r="Q32" s="34"/>
      <c r="R32" s="38"/>
    </row>
    <row r="33" spans="2:18" ht="35.25" customHeight="1">
      <c r="B33" s="486" t="s">
        <v>43</v>
      </c>
      <c r="C33" s="487"/>
      <c r="D33" s="487"/>
      <c r="E33" s="487"/>
      <c r="F33" s="487"/>
      <c r="G33" s="487"/>
      <c r="H33" s="488"/>
      <c r="I33" s="158"/>
      <c r="J33" s="159"/>
      <c r="K33" s="58"/>
      <c r="L33" s="34"/>
      <c r="M33" s="34"/>
      <c r="N33" s="34"/>
      <c r="O33" s="34"/>
      <c r="P33" s="34"/>
      <c r="Q33" s="34"/>
      <c r="R33" s="38"/>
    </row>
    <row r="34" spans="2:18" ht="20.100000000000001" customHeight="1">
      <c r="B34" s="59"/>
      <c r="C34" s="60"/>
      <c r="D34" s="60"/>
      <c r="E34" s="60"/>
      <c r="F34" s="60"/>
      <c r="G34" s="61"/>
      <c r="H34" s="281" t="s">
        <v>44</v>
      </c>
      <c r="I34" s="281"/>
      <c r="J34" s="281"/>
      <c r="K34" s="281"/>
      <c r="L34" s="34"/>
      <c r="M34" s="34"/>
      <c r="N34" s="34"/>
      <c r="O34" s="34"/>
      <c r="P34" s="34"/>
      <c r="Q34" s="34"/>
      <c r="R34" s="44"/>
    </row>
    <row r="35" spans="2:18" ht="20.100000000000001" customHeight="1">
      <c r="B35" s="160" t="s">
        <v>45</v>
      </c>
      <c r="C35" s="161"/>
      <c r="D35" s="161"/>
      <c r="E35" s="62" t="str">
        <f>I4</f>
        <v>0002122100</v>
      </c>
      <c r="F35" s="162" t="s">
        <v>46</v>
      </c>
      <c r="G35" s="163"/>
      <c r="H35" s="281"/>
      <c r="I35" s="281"/>
      <c r="J35" s="281"/>
      <c r="K35" s="281"/>
      <c r="L35" s="34"/>
      <c r="M35" s="34"/>
      <c r="N35" s="34"/>
      <c r="O35" s="34"/>
      <c r="P35" s="34"/>
      <c r="Q35" s="34"/>
      <c r="R35" s="44"/>
    </row>
    <row r="36" spans="2:18" ht="20.100000000000001" customHeight="1">
      <c r="B36" s="274" t="s">
        <v>47</v>
      </c>
      <c r="C36" s="275"/>
      <c r="D36" s="275"/>
      <c r="E36" s="275"/>
      <c r="F36" s="275"/>
      <c r="G36" s="276"/>
      <c r="H36" s="247" t="s">
        <v>48</v>
      </c>
      <c r="I36" s="248"/>
      <c r="J36" s="248"/>
      <c r="K36" s="249"/>
      <c r="L36" s="34"/>
      <c r="M36" s="34"/>
      <c r="N36" s="34"/>
      <c r="O36" s="34"/>
      <c r="P36" s="34"/>
      <c r="Q36" s="34"/>
      <c r="R36" s="44"/>
    </row>
    <row r="37" spans="2:18" ht="20.100000000000001" customHeight="1">
      <c r="B37" s="274"/>
      <c r="C37" s="275"/>
      <c r="D37" s="275"/>
      <c r="E37" s="275"/>
      <c r="F37" s="275"/>
      <c r="G37" s="276"/>
      <c r="H37" s="250"/>
      <c r="I37" s="251"/>
      <c r="J37" s="251"/>
      <c r="K37" s="252"/>
      <c r="L37" s="34"/>
      <c r="M37" s="34"/>
      <c r="N37" s="34"/>
      <c r="O37" s="34"/>
      <c r="P37" s="34"/>
      <c r="Q37" s="34"/>
      <c r="R37" s="44"/>
    </row>
    <row r="38" spans="2:18" ht="20.100000000000001" customHeight="1">
      <c r="B38" s="277"/>
      <c r="C38" s="278"/>
      <c r="D38" s="278"/>
      <c r="E38" s="278"/>
      <c r="F38" s="278"/>
      <c r="G38" s="279"/>
      <c r="H38" s="253"/>
      <c r="I38" s="254"/>
      <c r="J38" s="254"/>
      <c r="K38" s="255"/>
      <c r="L38" s="34"/>
      <c r="M38" s="34"/>
      <c r="N38" s="63"/>
      <c r="O38" s="34"/>
      <c r="P38" s="34"/>
      <c r="Q38" s="34"/>
      <c r="R38" s="44"/>
    </row>
    <row r="39" spans="2:18" ht="9.6" customHeight="1">
      <c r="B39" s="64"/>
      <c r="C39" s="65"/>
      <c r="D39" s="65"/>
      <c r="E39" s="65"/>
      <c r="F39" s="65"/>
      <c r="G39" s="65"/>
      <c r="H39" s="44"/>
      <c r="I39" s="65"/>
      <c r="J39" s="65"/>
      <c r="K39" s="66"/>
      <c r="L39" s="34"/>
      <c r="M39" s="34"/>
      <c r="N39" s="63"/>
      <c r="O39" s="34"/>
      <c r="P39" s="34"/>
      <c r="Q39" s="34"/>
      <c r="R39" s="44"/>
    </row>
    <row r="40" spans="2:18" ht="19.899999999999999" hidden="1" customHeight="1">
      <c r="B40" s="64"/>
      <c r="C40" s="65"/>
      <c r="D40" s="65"/>
      <c r="E40" s="65"/>
      <c r="F40" s="65"/>
      <c r="G40" s="65"/>
      <c r="H40" s="44"/>
      <c r="I40" s="65"/>
      <c r="J40" s="65"/>
      <c r="K40" s="66"/>
      <c r="L40" s="34"/>
      <c r="M40" s="34"/>
      <c r="N40" s="63" t="s">
        <v>49</v>
      </c>
      <c r="O40" s="34"/>
      <c r="P40" s="34"/>
      <c r="Q40" s="34"/>
      <c r="R40" s="44"/>
    </row>
    <row r="41" spans="2:18" ht="2.25" customHeight="1">
      <c r="B41" s="67"/>
      <c r="L41" s="34"/>
      <c r="M41" s="34"/>
      <c r="N41" s="34"/>
      <c r="O41" s="34"/>
      <c r="P41" s="34"/>
      <c r="Q41" s="34"/>
      <c r="R41" s="44"/>
    </row>
    <row r="42" spans="2:18" ht="21.75" customHeight="1">
      <c r="B42" s="242"/>
      <c r="C42" s="242"/>
      <c r="D42" s="242"/>
      <c r="E42" s="164" t="s">
        <v>50</v>
      </c>
      <c r="F42" s="164"/>
      <c r="G42" s="164"/>
      <c r="H42" s="164"/>
      <c r="I42" s="164"/>
      <c r="J42" s="164"/>
      <c r="K42" s="164"/>
      <c r="L42" s="34"/>
      <c r="M42" s="34"/>
      <c r="N42" s="34"/>
      <c r="O42" s="34"/>
      <c r="P42" s="34"/>
      <c r="Q42" s="34"/>
      <c r="R42" s="44"/>
    </row>
    <row r="43" spans="2:18" ht="20.100000000000001" customHeight="1">
      <c r="B43" s="242"/>
      <c r="C43" s="242"/>
      <c r="D43" s="242"/>
      <c r="E43" s="165" t="s">
        <v>2</v>
      </c>
      <c r="F43" s="165"/>
      <c r="G43" s="165" t="s">
        <v>3</v>
      </c>
      <c r="H43" s="165"/>
      <c r="I43" s="165" t="str">
        <f>I3</f>
        <v>REFRANCE NUMBER</v>
      </c>
      <c r="J43" s="165"/>
      <c r="K43" s="165"/>
      <c r="L43" s="34"/>
      <c r="M43" s="34"/>
      <c r="N43" s="34"/>
      <c r="O43" s="34"/>
      <c r="P43" s="34"/>
      <c r="Q43" s="34"/>
      <c r="R43" s="44"/>
    </row>
    <row r="44" spans="2:18" ht="15" customHeight="1">
      <c r="B44" s="242"/>
      <c r="C44" s="242"/>
      <c r="D44" s="242"/>
      <c r="E44" s="245" t="str">
        <f>E4</f>
        <v>USA</v>
      </c>
      <c r="F44" s="245"/>
      <c r="G44" s="246" t="str">
        <f>G4</f>
        <v>UPS</v>
      </c>
      <c r="H44" s="246"/>
      <c r="I44" s="243" t="str">
        <f>I4</f>
        <v>0002122100</v>
      </c>
      <c r="J44" s="244"/>
      <c r="K44" s="244"/>
      <c r="L44" s="34"/>
      <c r="M44" s="34"/>
      <c r="N44" s="34"/>
      <c r="O44" s="34"/>
      <c r="P44" s="34"/>
      <c r="Q44" s="34"/>
      <c r="R44" s="44"/>
    </row>
    <row r="45" spans="2:18" ht="21" customHeight="1">
      <c r="B45" s="242"/>
      <c r="C45" s="242"/>
      <c r="D45" s="242"/>
      <c r="E45" s="245"/>
      <c r="F45" s="245"/>
      <c r="G45" s="246"/>
      <c r="H45" s="246"/>
      <c r="I45" s="244"/>
      <c r="J45" s="244"/>
      <c r="K45" s="244"/>
      <c r="L45" s="34"/>
      <c r="M45" s="34"/>
      <c r="N45" s="34"/>
      <c r="O45" s="34"/>
      <c r="P45" s="34"/>
      <c r="Q45" s="34"/>
      <c r="R45" s="44"/>
    </row>
    <row r="46" spans="2:18" ht="20.100000000000001" customHeight="1">
      <c r="B46" s="69" t="s">
        <v>7</v>
      </c>
      <c r="C46" s="166" t="str">
        <f t="shared" ref="C46:C52" si="1">C6</f>
        <v>SAAD HAMEED</v>
      </c>
      <c r="D46" s="166"/>
      <c r="E46" s="69" t="s">
        <v>9</v>
      </c>
      <c r="F46" s="167" t="str">
        <f>F6</f>
        <v>JENNIFER JENNIFER</v>
      </c>
      <c r="G46" s="168"/>
      <c r="H46" s="168"/>
      <c r="I46" s="168"/>
      <c r="J46" s="168"/>
      <c r="K46" s="168"/>
      <c r="L46" s="34"/>
      <c r="M46" s="34"/>
      <c r="N46" s="34"/>
      <c r="O46" s="34"/>
      <c r="P46" s="34"/>
      <c r="Q46" s="34"/>
      <c r="R46" s="44"/>
    </row>
    <row r="47" spans="2:18" ht="20.100000000000001" customHeight="1">
      <c r="B47" s="69" t="s">
        <v>51</v>
      </c>
      <c r="C47" s="166" t="str">
        <f t="shared" si="1"/>
        <v>SAAD HAMEED</v>
      </c>
      <c r="D47" s="166"/>
      <c r="E47" s="210" t="s">
        <v>12</v>
      </c>
      <c r="F47" s="280" t="str">
        <f>F7</f>
        <v>380 S LAKE AVE 107  CA</v>
      </c>
      <c r="G47" s="280"/>
      <c r="H47" s="280"/>
      <c r="I47" s="280"/>
      <c r="J47" s="280"/>
      <c r="K47" s="280"/>
      <c r="L47" s="34"/>
      <c r="M47" s="34"/>
      <c r="N47" s="34"/>
      <c r="O47" s="34"/>
      <c r="P47" s="34"/>
      <c r="Q47" s="34"/>
      <c r="R47" s="44"/>
    </row>
    <row r="48" spans="2:18" ht="20.100000000000001" customHeight="1">
      <c r="B48" s="69" t="s">
        <v>14</v>
      </c>
      <c r="C48" s="166" t="str">
        <f t="shared" si="1"/>
        <v>HOUSE NO 4</v>
      </c>
      <c r="D48" s="166"/>
      <c r="E48" s="210"/>
      <c r="F48" s="280"/>
      <c r="G48" s="280"/>
      <c r="H48" s="280"/>
      <c r="I48" s="280"/>
      <c r="J48" s="280"/>
      <c r="K48" s="280"/>
      <c r="L48" s="34"/>
      <c r="M48" s="34"/>
      <c r="N48" s="34"/>
      <c r="O48" s="34"/>
      <c r="P48" s="34"/>
      <c r="Q48" s="34"/>
      <c r="R48" s="44"/>
    </row>
    <row r="49" spans="2:18" ht="19.5" customHeight="1">
      <c r="B49" s="69"/>
      <c r="C49" s="166" t="str">
        <f t="shared" si="1"/>
        <v>STREET NO 64</v>
      </c>
      <c r="D49" s="166"/>
      <c r="E49" s="210"/>
      <c r="F49" s="280"/>
      <c r="G49" s="280"/>
      <c r="H49" s="280"/>
      <c r="I49" s="280"/>
      <c r="J49" s="280"/>
      <c r="K49" s="280"/>
      <c r="L49" s="34"/>
      <c r="M49" s="34"/>
      <c r="N49" s="34"/>
      <c r="O49" s="34"/>
      <c r="P49" s="34"/>
      <c r="Q49" s="34"/>
      <c r="R49" s="44"/>
    </row>
    <row r="50" spans="2:18" ht="20.100000000000001" customHeight="1">
      <c r="B50" s="69"/>
      <c r="C50" s="166" t="str">
        <f t="shared" si="1"/>
        <v>LAHORE PAKISTAN</v>
      </c>
      <c r="D50" s="166"/>
      <c r="E50" s="69" t="s">
        <v>18</v>
      </c>
      <c r="F50" s="169" t="str">
        <f>F10</f>
        <v>PASADENA</v>
      </c>
      <c r="G50" s="170"/>
      <c r="H50" s="170"/>
      <c r="I50" s="170"/>
      <c r="J50" s="170"/>
      <c r="K50" s="170"/>
      <c r="L50" s="34"/>
      <c r="M50" s="34"/>
      <c r="N50" s="34"/>
      <c r="O50" s="34"/>
      <c r="P50" s="34"/>
      <c r="Q50" s="34"/>
      <c r="R50" s="38"/>
    </row>
    <row r="51" spans="2:18" ht="20.100000000000001" customHeight="1">
      <c r="B51" s="69" t="s">
        <v>20</v>
      </c>
      <c r="C51" s="166" t="str">
        <f t="shared" si="1"/>
        <v>0326 9422411</v>
      </c>
      <c r="D51" s="166"/>
      <c r="E51" s="69" t="s">
        <v>22</v>
      </c>
      <c r="F51" s="164" t="str">
        <f>F11</f>
        <v>USA</v>
      </c>
      <c r="G51" s="164"/>
      <c r="H51" s="164"/>
      <c r="I51" s="165" t="s">
        <v>52</v>
      </c>
      <c r="J51" s="165"/>
      <c r="K51" s="70">
        <f>K11</f>
        <v>91101</v>
      </c>
      <c r="L51" s="34"/>
      <c r="M51" s="34"/>
      <c r="N51" s="34"/>
      <c r="O51" s="34"/>
      <c r="P51" s="34"/>
      <c r="Q51" s="34"/>
      <c r="R51" s="38"/>
    </row>
    <row r="52" spans="2:18" ht="20.100000000000001" customHeight="1">
      <c r="B52" s="71" t="s">
        <v>53</v>
      </c>
      <c r="C52" s="171" t="str">
        <f t="shared" si="1"/>
        <v>33302-8155758-7</v>
      </c>
      <c r="D52" s="172"/>
      <c r="E52" s="72" t="str">
        <f>IF(E12="","",E12)</f>
        <v>PH/MOB</v>
      </c>
      <c r="F52" s="173" t="str">
        <f>F12</f>
        <v>0019497714513</v>
      </c>
      <c r="G52" s="174"/>
      <c r="H52" s="174"/>
      <c r="I52" s="174"/>
      <c r="J52" s="174"/>
      <c r="K52" s="174"/>
      <c r="L52" s="34"/>
      <c r="M52" s="34"/>
      <c r="N52" s="34"/>
      <c r="O52" s="34"/>
      <c r="P52" s="34"/>
      <c r="Q52" s="34"/>
      <c r="R52" s="38"/>
    </row>
    <row r="53" spans="2:18" ht="24" customHeight="1">
      <c r="B53" s="175" t="s">
        <v>54</v>
      </c>
      <c r="C53" s="176"/>
      <c r="D53" s="176"/>
      <c r="E53" s="176"/>
      <c r="F53" s="210" t="s">
        <v>27</v>
      </c>
      <c r="G53" s="210"/>
      <c r="H53" s="73" t="s">
        <v>55</v>
      </c>
      <c r="I53" s="68" t="s">
        <v>29</v>
      </c>
      <c r="J53" s="165" t="s">
        <v>30</v>
      </c>
      <c r="K53" s="177"/>
      <c r="L53" s="34"/>
      <c r="M53" s="34"/>
      <c r="N53" s="34"/>
      <c r="O53" s="34"/>
      <c r="P53" s="34"/>
      <c r="Q53" s="34"/>
      <c r="R53" s="38"/>
    </row>
    <row r="54" spans="2:18" ht="20.100000000000001" customHeight="1">
      <c r="B54" s="238"/>
      <c r="C54" s="238"/>
      <c r="D54" s="74" t="s">
        <v>32</v>
      </c>
      <c r="E54" s="75" t="s">
        <v>33</v>
      </c>
      <c r="F54" s="210"/>
      <c r="G54" s="210"/>
      <c r="H54" s="229"/>
      <c r="I54" s="233">
        <f>I14</f>
        <v>8</v>
      </c>
      <c r="J54" s="164" t="str">
        <f>J14</f>
        <v>176 KG</v>
      </c>
      <c r="K54" s="164"/>
      <c r="L54" s="34"/>
      <c r="M54" s="34"/>
      <c r="N54" s="34"/>
      <c r="O54" s="34"/>
      <c r="P54" s="34"/>
      <c r="Q54" s="34"/>
    </row>
    <row r="55" spans="2:18" ht="20.100000000000001" customHeight="1">
      <c r="B55" s="238"/>
      <c r="C55" s="238"/>
      <c r="D55" s="76">
        <f>D15</f>
        <v>46222</v>
      </c>
      <c r="E55" s="77" t="str">
        <f>E15</f>
        <v>SAAD HAMEED</v>
      </c>
      <c r="F55" s="178" t="str">
        <f>F15</f>
        <v>WPX</v>
      </c>
      <c r="G55" s="178"/>
      <c r="H55" s="229"/>
      <c r="I55" s="233"/>
      <c r="J55" s="164"/>
      <c r="K55" s="164"/>
      <c r="L55" s="34"/>
      <c r="M55" s="34"/>
      <c r="N55" s="34"/>
      <c r="O55" s="34"/>
      <c r="P55" s="34"/>
      <c r="Q55" s="34"/>
    </row>
    <row r="56" spans="2:18" ht="33.75" customHeight="1">
      <c r="B56" s="179" t="s">
        <v>43</v>
      </c>
      <c r="C56" s="180"/>
      <c r="D56" s="180"/>
      <c r="E56" s="180"/>
      <c r="F56" s="180"/>
      <c r="G56" s="180"/>
      <c r="H56" s="180"/>
      <c r="I56" s="180"/>
      <c r="J56" s="180"/>
      <c r="K56" s="180"/>
      <c r="L56" s="34"/>
    </row>
    <row r="57" spans="2:18" ht="32.25" customHeight="1">
      <c r="B57" s="181" t="s">
        <v>56</v>
      </c>
      <c r="C57" s="181"/>
      <c r="D57" s="181"/>
      <c r="E57" s="181"/>
      <c r="F57" s="181"/>
      <c r="G57" s="181"/>
      <c r="H57" s="181"/>
      <c r="I57" s="181"/>
      <c r="J57" s="181"/>
      <c r="K57" s="181"/>
    </row>
    <row r="58" spans="2:18" ht="36.75" customHeight="1">
      <c r="B58" s="485" t="s">
        <v>110</v>
      </c>
      <c r="C58" s="485"/>
      <c r="D58" s="182" t="s">
        <v>58</v>
      </c>
      <c r="E58" s="182"/>
      <c r="F58" s="182"/>
      <c r="G58" s="78" t="s">
        <v>59</v>
      </c>
      <c r="H58" s="183" t="str">
        <f>C12</f>
        <v>33302-8155758-7</v>
      </c>
      <c r="I58" s="184"/>
      <c r="J58" s="184"/>
      <c r="K58" s="184"/>
    </row>
    <row r="59" spans="2:18" ht="25.5" customHeight="1">
      <c r="B59" s="185" t="s">
        <v>60</v>
      </c>
      <c r="C59" s="185"/>
      <c r="D59" s="185"/>
      <c r="E59" s="185"/>
      <c r="F59" s="185"/>
      <c r="G59" s="185"/>
      <c r="H59" s="185"/>
      <c r="I59" s="185"/>
      <c r="J59" s="185"/>
      <c r="K59" s="185"/>
    </row>
    <row r="60" spans="2:18" ht="12.75" customHeight="1">
      <c r="B60" s="66" t="s">
        <v>61</v>
      </c>
      <c r="C60" s="66"/>
      <c r="D60" s="66"/>
      <c r="E60" s="66"/>
      <c r="F60" s="66"/>
      <c r="G60" s="66"/>
      <c r="H60" s="66"/>
      <c r="I60" s="66"/>
      <c r="J60" s="66"/>
      <c r="K60" s="66" t="s">
        <v>61</v>
      </c>
    </row>
    <row r="61" spans="2:18" ht="9.6" customHeight="1">
      <c r="B61" s="15"/>
      <c r="C61" s="15"/>
      <c r="D61" s="15"/>
      <c r="E61" s="15"/>
      <c r="F61" s="15"/>
      <c r="G61" s="15"/>
      <c r="H61" s="15"/>
      <c r="I61" s="15"/>
      <c r="J61" s="15"/>
      <c r="K61" s="15"/>
    </row>
    <row r="62" spans="2:18" ht="19.5" customHeight="1">
      <c r="B62" s="237"/>
      <c r="C62" s="237"/>
      <c r="D62" s="237"/>
      <c r="E62" s="186" t="str">
        <f>E42</f>
        <v>AIRWAY BILL</v>
      </c>
      <c r="F62" s="186"/>
      <c r="G62" s="186"/>
      <c r="H62" s="186"/>
      <c r="I62" s="186"/>
      <c r="J62" s="186"/>
      <c r="K62" s="186"/>
    </row>
    <row r="63" spans="2:18" ht="20.100000000000001" customHeight="1">
      <c r="B63" s="237"/>
      <c r="C63" s="237"/>
      <c r="D63" s="237"/>
      <c r="E63" s="187" t="s">
        <v>2</v>
      </c>
      <c r="F63" s="187"/>
      <c r="G63" s="187" t="s">
        <v>3</v>
      </c>
      <c r="H63" s="187"/>
      <c r="I63" s="187" t="str">
        <f>I3</f>
        <v>REFRANCE NUMBER</v>
      </c>
      <c r="J63" s="187"/>
      <c r="K63" s="187"/>
    </row>
    <row r="64" spans="2:18" ht="0.75" customHeight="1">
      <c r="B64" s="237"/>
      <c r="C64" s="237"/>
      <c r="D64" s="237"/>
      <c r="E64" s="239" t="str">
        <f>IF(E4="","",E4)</f>
        <v>USA</v>
      </c>
      <c r="F64" s="239"/>
      <c r="G64" s="240" t="str">
        <f>G44</f>
        <v>UPS</v>
      </c>
      <c r="H64" s="240"/>
      <c r="I64" s="241" t="str">
        <f>I4</f>
        <v>0002122100</v>
      </c>
      <c r="J64" s="241"/>
      <c r="K64" s="241"/>
    </row>
    <row r="65" spans="2:11" ht="21" customHeight="1">
      <c r="B65" s="237"/>
      <c r="C65" s="237"/>
      <c r="D65" s="237"/>
      <c r="E65" s="239"/>
      <c r="F65" s="239"/>
      <c r="G65" s="240"/>
      <c r="H65" s="240"/>
      <c r="I65" s="241"/>
      <c r="J65" s="241"/>
      <c r="K65" s="241"/>
    </row>
    <row r="66" spans="2:11" ht="20.100000000000001" customHeight="1">
      <c r="B66" s="79" t="s">
        <v>62</v>
      </c>
      <c r="C66" s="188" t="str">
        <f>IF(C6="","",C6)</f>
        <v>SAAD HAMEED</v>
      </c>
      <c r="D66" s="188"/>
      <c r="E66" s="81" t="s">
        <v>9</v>
      </c>
      <c r="F66" s="189" t="str">
        <f>IF(F6="","",F6)</f>
        <v>JENNIFER JENNIFER</v>
      </c>
      <c r="G66" s="189"/>
      <c r="H66" s="189"/>
      <c r="I66" s="189"/>
      <c r="J66" s="189"/>
      <c r="K66" s="189"/>
    </row>
    <row r="67" spans="2:11" ht="20.100000000000001" customHeight="1">
      <c r="B67" s="82" t="s">
        <v>51</v>
      </c>
      <c r="C67" s="190" t="str">
        <f t="shared" ref="C67:C70" si="2">IF(C7="","",C7)</f>
        <v>SAAD HAMEED</v>
      </c>
      <c r="D67" s="190"/>
      <c r="E67" s="225" t="s">
        <v>14</v>
      </c>
      <c r="F67" s="236" t="str">
        <f>IF(F7="","",F7)</f>
        <v>380 S LAKE AVE 107  CA</v>
      </c>
      <c r="G67" s="236"/>
      <c r="H67" s="236"/>
      <c r="I67" s="236"/>
      <c r="J67" s="236"/>
      <c r="K67" s="236"/>
    </row>
    <row r="68" spans="2:11" ht="20.100000000000001" customHeight="1">
      <c r="B68" s="220" t="s">
        <v>14</v>
      </c>
      <c r="C68" s="190" t="str">
        <f t="shared" si="2"/>
        <v>HOUSE NO 4</v>
      </c>
      <c r="D68" s="190"/>
      <c r="E68" s="225"/>
      <c r="F68" s="236"/>
      <c r="G68" s="236"/>
      <c r="H68" s="236"/>
      <c r="I68" s="236"/>
      <c r="J68" s="236"/>
      <c r="K68" s="236"/>
    </row>
    <row r="69" spans="2:11" ht="20.100000000000001" customHeight="1">
      <c r="B69" s="220"/>
      <c r="C69" s="190" t="str">
        <f>C9</f>
        <v>STREET NO 64</v>
      </c>
      <c r="D69" s="190"/>
      <c r="E69" s="225"/>
      <c r="F69" s="236"/>
      <c r="G69" s="236"/>
      <c r="H69" s="236"/>
      <c r="I69" s="236"/>
      <c r="J69" s="236"/>
      <c r="K69" s="236"/>
    </row>
    <row r="70" spans="2:11" ht="15" customHeight="1">
      <c r="B70" s="220"/>
      <c r="C70" s="190" t="str">
        <f t="shared" si="2"/>
        <v>LAHORE PAKISTAN</v>
      </c>
      <c r="D70" s="190"/>
      <c r="E70" s="81" t="s">
        <v>18</v>
      </c>
      <c r="F70" s="189" t="str">
        <f>IF(F10="","",F10)</f>
        <v>PASADENA</v>
      </c>
      <c r="G70" s="189"/>
      <c r="H70" s="189"/>
      <c r="I70" s="189"/>
      <c r="J70" s="189"/>
      <c r="K70" s="189"/>
    </row>
    <row r="71" spans="2:11" ht="15.75" customHeight="1">
      <c r="B71" s="83" t="s">
        <v>20</v>
      </c>
      <c r="C71" s="190" t="str">
        <f>C11</f>
        <v>0326 9422411</v>
      </c>
      <c r="D71" s="190"/>
      <c r="E71" s="81" t="s">
        <v>22</v>
      </c>
      <c r="F71" s="191" t="str">
        <f>F51</f>
        <v>USA</v>
      </c>
      <c r="G71" s="191"/>
      <c r="H71" s="191"/>
      <c r="I71" s="192" t="s">
        <v>52</v>
      </c>
      <c r="J71" s="192"/>
      <c r="K71" s="80">
        <f>K51</f>
        <v>91101</v>
      </c>
    </row>
    <row r="72" spans="2:11" ht="15.75" customHeight="1">
      <c r="B72" s="85" t="s">
        <v>53</v>
      </c>
      <c r="C72" s="190" t="str">
        <f>C12</f>
        <v>33302-8155758-7</v>
      </c>
      <c r="D72" s="190"/>
      <c r="E72" s="86" t="str">
        <f>IF(E12="","",E12)</f>
        <v>PH/MOB</v>
      </c>
      <c r="F72" s="180" t="str">
        <f>IF(F12="","",F12)</f>
        <v>0019497714513</v>
      </c>
      <c r="G72" s="180"/>
      <c r="H72" s="180"/>
      <c r="I72" s="180"/>
      <c r="J72" s="180"/>
      <c r="K72" s="180"/>
    </row>
    <row r="73" spans="2:11" ht="26.25" customHeight="1">
      <c r="B73" s="193" t="s">
        <v>54</v>
      </c>
      <c r="C73" s="193"/>
      <c r="D73" s="193"/>
      <c r="E73" s="193"/>
      <c r="F73" s="187" t="s">
        <v>27</v>
      </c>
      <c r="G73" s="187"/>
      <c r="H73" s="73" t="s">
        <v>55</v>
      </c>
      <c r="I73" s="84" t="s">
        <v>29</v>
      </c>
      <c r="J73" s="194" t="s">
        <v>63</v>
      </c>
      <c r="K73" s="194"/>
    </row>
    <row r="74" spans="2:11" ht="17.25" customHeight="1">
      <c r="B74" s="284"/>
      <c r="C74" s="284"/>
      <c r="D74" s="87" t="s">
        <v>32</v>
      </c>
      <c r="E74" s="88" t="str">
        <f>E55</f>
        <v>SAAD HAMEED</v>
      </c>
      <c r="F74" s="187"/>
      <c r="G74" s="187"/>
      <c r="H74" s="230"/>
      <c r="I74" s="234">
        <f>IF(I14="","",I14)</f>
        <v>8</v>
      </c>
      <c r="J74" s="285" t="str">
        <f>J54</f>
        <v>176 KG</v>
      </c>
      <c r="K74" s="285"/>
    </row>
    <row r="75" spans="2:11" ht="17.25" customHeight="1">
      <c r="B75" s="284"/>
      <c r="C75" s="284"/>
      <c r="D75" s="76">
        <f>D15</f>
        <v>46222</v>
      </c>
      <c r="E75" s="89" t="str">
        <f>IF(E15="","",E15)</f>
        <v>SAAD HAMEED</v>
      </c>
      <c r="F75" s="195" t="str">
        <f>IF(F15="","",F15)</f>
        <v>WPX</v>
      </c>
      <c r="G75" s="195"/>
      <c r="H75" s="230"/>
      <c r="I75" s="234"/>
      <c r="J75" s="285"/>
      <c r="K75" s="285"/>
    </row>
    <row r="76" spans="2:11" ht="33" customHeight="1">
      <c r="B76" s="480" t="s">
        <v>43</v>
      </c>
      <c r="C76" s="480"/>
      <c r="D76" s="480"/>
      <c r="E76" s="480"/>
      <c r="F76" s="480"/>
      <c r="G76" s="480"/>
      <c r="H76" s="480"/>
      <c r="I76" s="480"/>
      <c r="J76" s="480"/>
      <c r="K76" s="480"/>
    </row>
    <row r="77" spans="2:11" ht="27.75" customHeight="1">
      <c r="B77" s="196" t="s">
        <v>56</v>
      </c>
      <c r="C77" s="196"/>
      <c r="D77" s="196"/>
      <c r="E77" s="196"/>
      <c r="F77" s="196"/>
      <c r="G77" s="196"/>
      <c r="H77" s="196"/>
      <c r="I77" s="196"/>
      <c r="J77" s="196"/>
      <c r="K77" s="196"/>
    </row>
    <row r="78" spans="2:11" ht="22.5" customHeight="1">
      <c r="B78" s="485" t="s">
        <v>107</v>
      </c>
      <c r="C78" s="485"/>
      <c r="D78" s="90" t="s">
        <v>58</v>
      </c>
      <c r="E78" s="190"/>
      <c r="F78" s="190"/>
      <c r="G78" s="91" t="s">
        <v>59</v>
      </c>
      <c r="H78" s="183" t="str">
        <f>H58</f>
        <v>33302-8155758-7</v>
      </c>
      <c r="I78" s="197"/>
      <c r="J78" s="197"/>
      <c r="K78" s="197"/>
    </row>
    <row r="79" spans="2:11" ht="22.5" customHeight="1">
      <c r="B79" s="198" t="str">
        <f>B59</f>
        <v>Contact No. 042 999164619                                 0326 9422411          E-mail: skyxpress786@gmail.com</v>
      </c>
      <c r="C79" s="198"/>
      <c r="D79" s="198"/>
      <c r="E79" s="198"/>
      <c r="F79" s="198"/>
      <c r="G79" s="198"/>
      <c r="H79" s="198"/>
      <c r="I79" s="198"/>
      <c r="J79" s="198"/>
      <c r="K79" s="198"/>
    </row>
    <row r="80" spans="2:11" ht="35.25" customHeight="1">
      <c r="B80" s="242"/>
      <c r="C80" s="242"/>
      <c r="D80" s="242"/>
      <c r="E80" s="199" t="str">
        <f>E42</f>
        <v>AIRWAY BILL</v>
      </c>
      <c r="F80" s="199"/>
      <c r="G80" s="199"/>
      <c r="H80" s="199"/>
      <c r="I80" s="199"/>
      <c r="J80" s="199"/>
      <c r="K80" s="199"/>
    </row>
    <row r="81" spans="2:14" ht="20.100000000000001" customHeight="1">
      <c r="B81" s="242"/>
      <c r="C81" s="242"/>
      <c r="D81" s="242"/>
      <c r="E81" s="165" t="s">
        <v>2</v>
      </c>
      <c r="F81" s="165"/>
      <c r="G81" s="165" t="s">
        <v>3</v>
      </c>
      <c r="H81" s="165"/>
      <c r="I81" s="165" t="s">
        <v>64</v>
      </c>
      <c r="J81" s="165"/>
      <c r="K81" s="165"/>
    </row>
    <row r="82" spans="2:14" ht="15" customHeight="1">
      <c r="B82" s="242"/>
      <c r="C82" s="242"/>
      <c r="D82" s="242"/>
      <c r="E82" s="297" t="str">
        <f>IF(E4="","",E4)</f>
        <v>USA</v>
      </c>
      <c r="F82" s="297"/>
      <c r="G82" s="298" t="str">
        <f>G4</f>
        <v>UPS</v>
      </c>
      <c r="H82" s="298"/>
      <c r="I82" s="282" t="str">
        <f>I4</f>
        <v>0002122100</v>
      </c>
      <c r="J82" s="283"/>
      <c r="K82" s="283"/>
    </row>
    <row r="83" spans="2:14" ht="13.5" customHeight="1">
      <c r="B83" s="200"/>
      <c r="C83" s="200"/>
      <c r="D83" s="200"/>
      <c r="E83" s="297"/>
      <c r="F83" s="297"/>
      <c r="G83" s="298"/>
      <c r="H83" s="298"/>
      <c r="I83" s="283"/>
      <c r="J83" s="283"/>
      <c r="K83" s="283"/>
    </row>
    <row r="84" spans="2:14" ht="20.100000000000001" customHeight="1">
      <c r="B84" s="92" t="s">
        <v>7</v>
      </c>
      <c r="C84" s="201" t="str">
        <f t="shared" ref="C84:C88" si="3">IF(C6="","",C6)</f>
        <v>SAAD HAMEED</v>
      </c>
      <c r="D84" s="201"/>
      <c r="E84" s="68" t="s">
        <v>9</v>
      </c>
      <c r="F84" s="202" t="str">
        <f t="shared" ref="F84" si="4">IF(F6="","",F6)</f>
        <v>JENNIFER JENNIFER</v>
      </c>
      <c r="G84" s="203"/>
      <c r="H84" s="203"/>
      <c r="I84" s="203"/>
      <c r="J84" s="203"/>
      <c r="K84" s="203"/>
    </row>
    <row r="85" spans="2:14" ht="18" customHeight="1">
      <c r="B85" s="93" t="str">
        <f>B7</f>
        <v>COMPANY</v>
      </c>
      <c r="C85" s="204" t="str">
        <f t="shared" si="3"/>
        <v>SAAD HAMEED</v>
      </c>
      <c r="D85" s="204"/>
      <c r="E85" s="226" t="s">
        <v>12</v>
      </c>
      <c r="F85" s="294" t="str">
        <f>F67</f>
        <v>380 S LAKE AVE 107  CA</v>
      </c>
      <c r="G85" s="294"/>
      <c r="H85" s="294"/>
      <c r="I85" s="294"/>
      <c r="J85" s="294"/>
      <c r="K85" s="294"/>
    </row>
    <row r="86" spans="2:14" ht="20.100000000000001" customHeight="1">
      <c r="B86" s="221" t="s">
        <v>14</v>
      </c>
      <c r="C86" s="205" t="str">
        <f t="shared" si="3"/>
        <v>HOUSE NO 4</v>
      </c>
      <c r="D86" s="205"/>
      <c r="E86" s="226"/>
      <c r="F86" s="294"/>
      <c r="G86" s="294"/>
      <c r="H86" s="294"/>
      <c r="I86" s="294"/>
      <c r="J86" s="294"/>
      <c r="K86" s="294"/>
    </row>
    <row r="87" spans="2:14" ht="17.25" customHeight="1">
      <c r="B87" s="221"/>
      <c r="C87" s="206" t="str">
        <f t="shared" si="3"/>
        <v>STREET NO 64</v>
      </c>
      <c r="D87" s="206"/>
      <c r="E87" s="226"/>
      <c r="F87" s="294"/>
      <c r="G87" s="294"/>
      <c r="H87" s="294"/>
      <c r="I87" s="294"/>
      <c r="J87" s="294"/>
      <c r="K87" s="294"/>
    </row>
    <row r="88" spans="2:14" ht="15" customHeight="1">
      <c r="B88" s="94" t="s">
        <v>22</v>
      </c>
      <c r="C88" s="205" t="str">
        <f t="shared" si="3"/>
        <v>LAHORE PAKISTAN</v>
      </c>
      <c r="D88" s="205"/>
      <c r="E88" s="68" t="s">
        <v>18</v>
      </c>
      <c r="F88" s="207" t="str">
        <f>F70</f>
        <v>PASADENA</v>
      </c>
      <c r="G88" s="208"/>
      <c r="H88" s="208"/>
      <c r="I88" s="208"/>
      <c r="J88" s="208"/>
      <c r="K88" s="208"/>
    </row>
    <row r="89" spans="2:14" ht="16.5" customHeight="1">
      <c r="B89" s="92" t="s">
        <v>20</v>
      </c>
      <c r="C89" s="205" t="str">
        <f>C71</f>
        <v>0326 9422411</v>
      </c>
      <c r="D89" s="205"/>
      <c r="E89" s="68" t="s">
        <v>22</v>
      </c>
      <c r="F89" s="209" t="str">
        <f>E4</f>
        <v>USA</v>
      </c>
      <c r="G89" s="209"/>
      <c r="H89" s="209"/>
      <c r="I89" s="210" t="s">
        <v>52</v>
      </c>
      <c r="J89" s="210"/>
      <c r="K89" s="95">
        <f>K71</f>
        <v>91101</v>
      </c>
    </row>
    <row r="90" spans="2:14" ht="15.75" customHeight="1">
      <c r="B90" s="85" t="s">
        <v>53</v>
      </c>
      <c r="C90" s="211" t="str">
        <f>H78</f>
        <v>33302-8155758-7</v>
      </c>
      <c r="D90" s="205"/>
      <c r="E90" s="96" t="s">
        <v>20</v>
      </c>
      <c r="F90" s="212" t="str">
        <f>F12</f>
        <v>0019497714513</v>
      </c>
      <c r="G90" s="212"/>
      <c r="H90" s="212"/>
      <c r="I90" s="212"/>
      <c r="J90" s="212"/>
      <c r="K90" s="212"/>
    </row>
    <row r="91" spans="2:14" ht="25.5" customHeight="1">
      <c r="B91" s="97" t="s">
        <v>65</v>
      </c>
      <c r="C91" s="98" t="s">
        <v>32</v>
      </c>
      <c r="D91" s="213" t="s">
        <v>66</v>
      </c>
      <c r="E91" s="213"/>
      <c r="F91" s="213"/>
      <c r="G91" s="99"/>
      <c r="H91" s="214" t="s">
        <v>67</v>
      </c>
      <c r="I91" s="214"/>
      <c r="J91" s="214"/>
      <c r="K91" s="214"/>
    </row>
    <row r="92" spans="2:14" ht="20.25" customHeight="1">
      <c r="B92" s="100" t="str">
        <f>E75</f>
        <v>SAAD HAMEED</v>
      </c>
      <c r="C92" s="101">
        <f>D15</f>
        <v>46222</v>
      </c>
      <c r="D92" s="295" t="str">
        <f>I82</f>
        <v>0002122100</v>
      </c>
      <c r="E92" s="295"/>
      <c r="F92" s="295"/>
      <c r="G92" s="295"/>
      <c r="H92" s="102" t="s">
        <v>55</v>
      </c>
      <c r="I92" s="68" t="s">
        <v>29</v>
      </c>
      <c r="J92" s="165" t="s">
        <v>30</v>
      </c>
      <c r="K92" s="177"/>
    </row>
    <row r="93" spans="2:14" ht="24" customHeight="1">
      <c r="B93" s="215" t="s">
        <v>68</v>
      </c>
      <c r="C93" s="215"/>
      <c r="D93" s="295"/>
      <c r="E93" s="295"/>
      <c r="F93" s="295"/>
      <c r="G93" s="295"/>
      <c r="H93" s="231"/>
      <c r="I93" s="235">
        <f>IF(I14="","",I14)</f>
        <v>8</v>
      </c>
      <c r="J93" s="235" t="str">
        <f>J74</f>
        <v>176 KG</v>
      </c>
      <c r="K93" s="235"/>
      <c r="M93" s="103"/>
      <c r="N93" s="104"/>
    </row>
    <row r="94" spans="2:14" ht="21.75" customHeight="1">
      <c r="B94" s="216">
        <v>1250000</v>
      </c>
      <c r="C94" s="216"/>
      <c r="D94" s="295"/>
      <c r="E94" s="295"/>
      <c r="F94" s="295"/>
      <c r="G94" s="295"/>
      <c r="H94" s="231"/>
      <c r="I94" s="235"/>
      <c r="J94" s="235"/>
      <c r="K94" s="235"/>
    </row>
    <row r="95" spans="2:14" ht="30.75" customHeight="1">
      <c r="B95" s="481" t="s">
        <v>43</v>
      </c>
      <c r="C95" s="482"/>
      <c r="D95" s="482"/>
      <c r="E95" s="482"/>
      <c r="F95" s="482"/>
      <c r="G95" s="482"/>
      <c r="H95" s="482"/>
      <c r="I95" s="482"/>
      <c r="J95" s="482"/>
      <c r="K95" s="482"/>
    </row>
    <row r="96" spans="2:14" ht="22.5" customHeight="1">
      <c r="B96" s="483" t="s">
        <v>108</v>
      </c>
      <c r="C96" s="483"/>
      <c r="D96" s="483"/>
      <c r="E96" s="483"/>
      <c r="F96" s="483"/>
      <c r="G96" s="483"/>
      <c r="H96" s="483"/>
      <c r="I96" s="483"/>
      <c r="J96" s="483"/>
      <c r="K96" s="483"/>
    </row>
    <row r="97" spans="2:11" ht="22.5" customHeight="1">
      <c r="B97" s="479" t="s">
        <v>69</v>
      </c>
      <c r="C97" s="479"/>
      <c r="D97" s="217" t="s">
        <v>70</v>
      </c>
      <c r="E97" s="217"/>
      <c r="F97" s="217"/>
      <c r="G97" s="217"/>
      <c r="H97" s="217"/>
      <c r="I97" s="185" t="s">
        <v>71</v>
      </c>
      <c r="J97" s="185"/>
      <c r="K97" s="484" t="s">
        <v>109</v>
      </c>
    </row>
    <row r="98" spans="2:11" ht="81" hidden="1" customHeight="1">
      <c r="B98" s="44"/>
      <c r="C98" s="44"/>
      <c r="D98" s="44"/>
      <c r="E98" s="44"/>
      <c r="F98" s="44"/>
      <c r="G98" s="44"/>
      <c r="H98" s="44"/>
      <c r="I98" s="65"/>
      <c r="J98" s="65"/>
      <c r="K98" s="44"/>
    </row>
    <row r="99" spans="2:11" ht="59.25" hidden="1" customHeight="1">
      <c r="B99" s="218"/>
      <c r="C99" s="218"/>
      <c r="D99" s="218"/>
      <c r="E99" s="218"/>
      <c r="F99" s="218"/>
      <c r="G99" s="218"/>
      <c r="H99" s="218"/>
      <c r="I99" s="218"/>
      <c r="J99" s="218"/>
      <c r="K99" s="218"/>
    </row>
    <row r="100" spans="2:11" ht="13.5" customHeight="1">
      <c r="B100" s="219" t="s">
        <v>72</v>
      </c>
      <c r="C100" s="219"/>
      <c r="D100" s="219"/>
      <c r="E100" s="219"/>
      <c r="F100" s="219"/>
      <c r="G100" s="219"/>
      <c r="H100" s="219"/>
      <c r="I100" s="219"/>
      <c r="J100" s="219"/>
      <c r="K100" s="219"/>
    </row>
    <row r="101" spans="2:11" ht="19.5" hidden="1" customHeight="1">
      <c r="B101" s="105"/>
      <c r="C101" s="105"/>
      <c r="D101" s="106"/>
      <c r="E101" s="106"/>
      <c r="F101" s="107"/>
      <c r="G101" s="107"/>
      <c r="H101" s="107"/>
      <c r="I101" s="107"/>
      <c r="J101" s="107"/>
      <c r="K101" s="107"/>
    </row>
    <row r="102" spans="2:11" ht="27.75" customHeight="1">
      <c r="B102" s="296" t="s">
        <v>73</v>
      </c>
      <c r="C102" s="296"/>
      <c r="D102" s="296"/>
      <c r="E102" s="296"/>
      <c r="F102" s="296" t="s">
        <v>74</v>
      </c>
      <c r="G102" s="296"/>
      <c r="H102" s="296"/>
      <c r="I102" s="296"/>
      <c r="J102" s="296"/>
      <c r="K102" s="296"/>
    </row>
    <row r="103" spans="2:11" ht="20.100000000000001" customHeight="1">
      <c r="B103" s="296"/>
      <c r="C103" s="296"/>
      <c r="D103" s="296"/>
      <c r="E103" s="296"/>
      <c r="F103" s="296"/>
      <c r="G103" s="296"/>
      <c r="H103" s="296"/>
      <c r="I103" s="296"/>
      <c r="J103" s="296"/>
      <c r="K103" s="296"/>
    </row>
    <row r="104" spans="2:11" ht="20.100000000000001" customHeight="1">
      <c r="B104" s="296"/>
      <c r="C104" s="296"/>
      <c r="D104" s="296"/>
      <c r="E104" s="296"/>
      <c r="F104" s="296"/>
      <c r="G104" s="296"/>
      <c r="H104" s="296"/>
      <c r="I104" s="296"/>
      <c r="J104" s="296"/>
      <c r="K104" s="296"/>
    </row>
    <row r="105" spans="2:11" ht="20.100000000000001" customHeight="1">
      <c r="B105" s="296"/>
      <c r="C105" s="296"/>
      <c r="D105" s="296"/>
      <c r="E105" s="296"/>
      <c r="F105" s="296"/>
      <c r="G105" s="296"/>
      <c r="H105" s="296"/>
      <c r="I105" s="296"/>
      <c r="J105" s="296"/>
      <c r="K105" s="296"/>
    </row>
    <row r="106" spans="2:11" ht="20.100000000000001" customHeight="1">
      <c r="B106" s="296"/>
      <c r="C106" s="296"/>
      <c r="D106" s="296"/>
      <c r="E106" s="296"/>
      <c r="F106" s="296"/>
      <c r="G106" s="296"/>
      <c r="H106" s="296"/>
      <c r="I106" s="296"/>
      <c r="J106" s="296"/>
      <c r="K106" s="296"/>
    </row>
    <row r="107" spans="2:11" ht="20.100000000000001" customHeight="1">
      <c r="B107" s="296"/>
      <c r="C107" s="296"/>
      <c r="D107" s="296"/>
      <c r="E107" s="296"/>
      <c r="F107" s="296"/>
      <c r="G107" s="296"/>
      <c r="H107" s="296"/>
      <c r="I107" s="296"/>
      <c r="J107" s="296"/>
      <c r="K107" s="296"/>
    </row>
    <row r="108" spans="2:11" ht="20.100000000000001" customHeight="1">
      <c r="B108" s="296"/>
      <c r="C108" s="296"/>
      <c r="D108" s="296"/>
      <c r="E108" s="296"/>
      <c r="F108" s="296"/>
      <c r="G108" s="296"/>
      <c r="H108" s="296"/>
      <c r="I108" s="296"/>
      <c r="J108" s="296"/>
      <c r="K108" s="296"/>
    </row>
    <row r="109" spans="2:11" ht="20.100000000000001" customHeight="1">
      <c r="B109" s="296"/>
      <c r="C109" s="296"/>
      <c r="D109" s="296"/>
      <c r="E109" s="296"/>
      <c r="F109" s="296"/>
      <c r="G109" s="296"/>
      <c r="H109" s="296"/>
      <c r="I109" s="296"/>
      <c r="J109" s="296"/>
      <c r="K109" s="296"/>
    </row>
    <row r="110" spans="2:11" ht="20.100000000000001" customHeight="1">
      <c r="B110" s="296"/>
      <c r="C110" s="296"/>
      <c r="D110" s="296"/>
      <c r="E110" s="296"/>
      <c r="F110" s="296"/>
      <c r="G110" s="296"/>
      <c r="H110" s="296"/>
      <c r="I110" s="296"/>
      <c r="J110" s="296"/>
      <c r="K110" s="296"/>
    </row>
    <row r="111" spans="2:11" ht="20.100000000000001" customHeight="1">
      <c r="B111" s="296"/>
      <c r="C111" s="296"/>
      <c r="D111" s="296"/>
      <c r="E111" s="296"/>
      <c r="F111" s="296"/>
      <c r="G111" s="296"/>
      <c r="H111" s="296"/>
      <c r="I111" s="296"/>
      <c r="J111" s="296"/>
      <c r="K111" s="296"/>
    </row>
    <row r="112" spans="2:11" ht="20.100000000000001" customHeight="1">
      <c r="B112" s="296"/>
      <c r="C112" s="296"/>
      <c r="D112" s="296"/>
      <c r="E112" s="296"/>
      <c r="F112" s="296"/>
      <c r="G112" s="296"/>
      <c r="H112" s="296"/>
      <c r="I112" s="296"/>
      <c r="J112" s="296"/>
      <c r="K112" s="296"/>
    </row>
    <row r="113" spans="2:11" ht="20.100000000000001" customHeight="1">
      <c r="B113" s="296"/>
      <c r="C113" s="296"/>
      <c r="D113" s="296"/>
      <c r="E113" s="296"/>
      <c r="F113" s="296"/>
      <c r="G113" s="296"/>
      <c r="H113" s="296"/>
      <c r="I113" s="296"/>
      <c r="J113" s="296"/>
      <c r="K113" s="296"/>
    </row>
    <row r="114" spans="2:11" ht="20.100000000000001" customHeight="1">
      <c r="B114" s="296"/>
      <c r="C114" s="296"/>
      <c r="D114" s="296"/>
      <c r="E114" s="296"/>
      <c r="F114" s="296"/>
      <c r="G114" s="296"/>
      <c r="H114" s="296"/>
      <c r="I114" s="296"/>
      <c r="J114" s="296"/>
      <c r="K114" s="296"/>
    </row>
    <row r="115" spans="2:11" ht="20.100000000000001" customHeight="1">
      <c r="B115" s="296"/>
      <c r="C115" s="296"/>
      <c r="D115" s="296"/>
      <c r="E115" s="296"/>
      <c r="F115" s="296"/>
      <c r="G115" s="296"/>
      <c r="H115" s="296"/>
      <c r="I115" s="296"/>
      <c r="J115" s="296"/>
      <c r="K115" s="296"/>
    </row>
    <row r="116" spans="2:11" ht="20.100000000000001" customHeight="1">
      <c r="B116" s="296"/>
      <c r="C116" s="296"/>
      <c r="D116" s="296"/>
      <c r="E116" s="296"/>
      <c r="F116" s="296"/>
      <c r="G116" s="296"/>
      <c r="H116" s="296"/>
      <c r="I116" s="296"/>
      <c r="J116" s="296"/>
      <c r="K116" s="296"/>
    </row>
    <row r="117" spans="2:11" ht="20.100000000000001" customHeight="1">
      <c r="B117" s="296"/>
      <c r="C117" s="296"/>
      <c r="D117" s="296"/>
      <c r="E117" s="296"/>
      <c r="F117" s="296"/>
      <c r="G117" s="296"/>
      <c r="H117" s="296"/>
      <c r="I117" s="296"/>
      <c r="J117" s="296"/>
      <c r="K117" s="296"/>
    </row>
    <row r="118" spans="2:11" ht="20.100000000000001" customHeight="1">
      <c r="B118" s="296"/>
      <c r="C118" s="296"/>
      <c r="D118" s="296"/>
      <c r="E118" s="296"/>
      <c r="F118" s="296"/>
      <c r="G118" s="296"/>
      <c r="H118" s="296"/>
      <c r="I118" s="296"/>
      <c r="J118" s="296"/>
      <c r="K118" s="296"/>
    </row>
    <row r="119" spans="2:11" ht="20.100000000000001" customHeight="1">
      <c r="B119" s="296"/>
      <c r="C119" s="296"/>
      <c r="D119" s="296"/>
      <c r="E119" s="296"/>
      <c r="F119" s="296"/>
      <c r="G119" s="296"/>
      <c r="H119" s="296"/>
      <c r="I119" s="296"/>
      <c r="J119" s="296"/>
      <c r="K119" s="296"/>
    </row>
    <row r="120" spans="2:11" ht="20.100000000000001" customHeight="1">
      <c r="B120" s="296"/>
      <c r="C120" s="296"/>
      <c r="D120" s="296"/>
      <c r="E120" s="296"/>
      <c r="F120" s="296"/>
      <c r="G120" s="296"/>
      <c r="H120" s="296"/>
      <c r="I120" s="296"/>
      <c r="J120" s="296"/>
      <c r="K120" s="296"/>
    </row>
    <row r="121" spans="2:11" ht="20.100000000000001" customHeight="1">
      <c r="B121" s="296"/>
      <c r="C121" s="296"/>
      <c r="D121" s="296"/>
      <c r="E121" s="296"/>
      <c r="F121" s="296"/>
      <c r="G121" s="296"/>
      <c r="H121" s="296"/>
      <c r="I121" s="296"/>
      <c r="J121" s="296"/>
      <c r="K121" s="296"/>
    </row>
    <row r="122" spans="2:11" ht="20.100000000000001" customHeight="1">
      <c r="B122" s="296"/>
      <c r="C122" s="296"/>
      <c r="D122" s="296"/>
      <c r="E122" s="296"/>
      <c r="F122" s="296"/>
      <c r="G122" s="296"/>
      <c r="H122" s="296"/>
      <c r="I122" s="296"/>
      <c r="J122" s="296"/>
      <c r="K122" s="296"/>
    </row>
    <row r="123" spans="2:11" ht="20.100000000000001" customHeight="1">
      <c r="B123" s="296"/>
      <c r="C123" s="296"/>
      <c r="D123" s="296"/>
      <c r="E123" s="296"/>
      <c r="F123" s="296"/>
      <c r="G123" s="296"/>
      <c r="H123" s="296"/>
      <c r="I123" s="296"/>
      <c r="J123" s="296"/>
      <c r="K123" s="296"/>
    </row>
  </sheetData>
  <mergeCells count="185">
    <mergeCell ref="B102:E123"/>
    <mergeCell ref="F102:K123"/>
    <mergeCell ref="E82:F83"/>
    <mergeCell ref="G82:H83"/>
    <mergeCell ref="B97:C97"/>
    <mergeCell ref="D97:H97"/>
    <mergeCell ref="I97:J97"/>
    <mergeCell ref="B99:K99"/>
    <mergeCell ref="B100:K100"/>
    <mergeCell ref="B68:B70"/>
    <mergeCell ref="B86:B87"/>
    <mergeCell ref="E7:E9"/>
    <mergeCell ref="E47:E49"/>
    <mergeCell ref="E67:E69"/>
    <mergeCell ref="E85:E87"/>
    <mergeCell ref="H14:H15"/>
    <mergeCell ref="H54:H55"/>
    <mergeCell ref="H74:H75"/>
    <mergeCell ref="H93:H94"/>
    <mergeCell ref="I14:I15"/>
    <mergeCell ref="I54:I55"/>
    <mergeCell ref="I74:I75"/>
    <mergeCell ref="I93:I94"/>
    <mergeCell ref="F67:K69"/>
    <mergeCell ref="B62:D65"/>
    <mergeCell ref="B54:C55"/>
    <mergeCell ref="J54:K55"/>
    <mergeCell ref="E64:F65"/>
    <mergeCell ref="C90:D90"/>
    <mergeCell ref="F90:K90"/>
    <mergeCell ref="D91:F91"/>
    <mergeCell ref="H91:K91"/>
    <mergeCell ref="J92:K92"/>
    <mergeCell ref="B93:C93"/>
    <mergeCell ref="B94:C94"/>
    <mergeCell ref="B95:K95"/>
    <mergeCell ref="B96:K96"/>
    <mergeCell ref="D92:G94"/>
    <mergeCell ref="J93:K94"/>
    <mergeCell ref="C84:D84"/>
    <mergeCell ref="F84:K84"/>
    <mergeCell ref="C85:D85"/>
    <mergeCell ref="C86:D86"/>
    <mergeCell ref="C87:D87"/>
    <mergeCell ref="C88:D88"/>
    <mergeCell ref="F88:K88"/>
    <mergeCell ref="C89:D89"/>
    <mergeCell ref="F89:H89"/>
    <mergeCell ref="I89:J89"/>
    <mergeCell ref="F85:K87"/>
    <mergeCell ref="B77:K77"/>
    <mergeCell ref="E78:F78"/>
    <mergeCell ref="H78:K78"/>
    <mergeCell ref="B79:K79"/>
    <mergeCell ref="E80:K80"/>
    <mergeCell ref="E81:F81"/>
    <mergeCell ref="G81:H81"/>
    <mergeCell ref="I81:K81"/>
    <mergeCell ref="B83:D83"/>
    <mergeCell ref="I82:K83"/>
    <mergeCell ref="B80:D82"/>
    <mergeCell ref="C71:D71"/>
    <mergeCell ref="F71:H71"/>
    <mergeCell ref="I71:J71"/>
    <mergeCell ref="C72:D72"/>
    <mergeCell ref="F72:K72"/>
    <mergeCell ref="B73:E73"/>
    <mergeCell ref="J73:K73"/>
    <mergeCell ref="F75:G75"/>
    <mergeCell ref="B76:K76"/>
    <mergeCell ref="F73:G74"/>
    <mergeCell ref="B74:C75"/>
    <mergeCell ref="J74:K75"/>
    <mergeCell ref="E63:F63"/>
    <mergeCell ref="G63:H63"/>
    <mergeCell ref="I63:K63"/>
    <mergeCell ref="C66:D66"/>
    <mergeCell ref="F66:K66"/>
    <mergeCell ref="C67:D67"/>
    <mergeCell ref="C68:D68"/>
    <mergeCell ref="C69:D69"/>
    <mergeCell ref="C70:D70"/>
    <mergeCell ref="F70:K70"/>
    <mergeCell ref="G64:H65"/>
    <mergeCell ref="I64:K65"/>
    <mergeCell ref="B53:E53"/>
    <mergeCell ref="J53:K53"/>
    <mergeCell ref="F55:G55"/>
    <mergeCell ref="B56:K56"/>
    <mergeCell ref="B57:K57"/>
    <mergeCell ref="D58:F58"/>
    <mergeCell ref="H58:K58"/>
    <mergeCell ref="B59:K59"/>
    <mergeCell ref="E62:K62"/>
    <mergeCell ref="F53:G54"/>
    <mergeCell ref="C48:D48"/>
    <mergeCell ref="C49:D49"/>
    <mergeCell ref="C50:D50"/>
    <mergeCell ref="F50:K50"/>
    <mergeCell ref="C51:D51"/>
    <mergeCell ref="F51:H51"/>
    <mergeCell ref="I51:J51"/>
    <mergeCell ref="C52:D52"/>
    <mergeCell ref="F52:K52"/>
    <mergeCell ref="F47:K49"/>
    <mergeCell ref="B35:D35"/>
    <mergeCell ref="F35:G35"/>
    <mergeCell ref="E42:K42"/>
    <mergeCell ref="E43:F43"/>
    <mergeCell ref="G43:H43"/>
    <mergeCell ref="I43:K43"/>
    <mergeCell ref="C46:D46"/>
    <mergeCell ref="F46:K46"/>
    <mergeCell ref="C47:D47"/>
    <mergeCell ref="B42:D45"/>
    <mergeCell ref="I44:K45"/>
    <mergeCell ref="E44:F45"/>
    <mergeCell ref="G44:H45"/>
    <mergeCell ref="H36:K38"/>
    <mergeCell ref="B36:G38"/>
    <mergeCell ref="H34:K35"/>
    <mergeCell ref="C29:H29"/>
    <mergeCell ref="I29:J29"/>
    <mergeCell ref="C30:H30"/>
    <mergeCell ref="I30:J30"/>
    <mergeCell ref="C31:H31"/>
    <mergeCell ref="I31:J31"/>
    <mergeCell ref="B32:H32"/>
    <mergeCell ref="I32:J32"/>
    <mergeCell ref="B33:H33"/>
    <mergeCell ref="I33:J33"/>
    <mergeCell ref="C24:H24"/>
    <mergeCell ref="I24:J24"/>
    <mergeCell ref="C25:H25"/>
    <mergeCell ref="I25:J25"/>
    <mergeCell ref="C26:H26"/>
    <mergeCell ref="I26:J26"/>
    <mergeCell ref="C27:H27"/>
    <mergeCell ref="I27:J27"/>
    <mergeCell ref="C28:H28"/>
    <mergeCell ref="I28:J28"/>
    <mergeCell ref="C19:H19"/>
    <mergeCell ref="I19:J19"/>
    <mergeCell ref="C20:H20"/>
    <mergeCell ref="I20:J20"/>
    <mergeCell ref="C21:H21"/>
    <mergeCell ref="I21:J21"/>
    <mergeCell ref="C22:H22"/>
    <mergeCell ref="I22:J22"/>
    <mergeCell ref="C23:H23"/>
    <mergeCell ref="I23:J23"/>
    <mergeCell ref="B14:C14"/>
    <mergeCell ref="B15:C15"/>
    <mergeCell ref="F15:G15"/>
    <mergeCell ref="C16:H16"/>
    <mergeCell ref="I16:J16"/>
    <mergeCell ref="C17:H17"/>
    <mergeCell ref="I17:J17"/>
    <mergeCell ref="C18:H18"/>
    <mergeCell ref="I18:J18"/>
    <mergeCell ref="J14:K15"/>
    <mergeCell ref="F13:G14"/>
    <mergeCell ref="C10:D10"/>
    <mergeCell ref="F10:K10"/>
    <mergeCell ref="C11:D11"/>
    <mergeCell ref="F11:H11"/>
    <mergeCell ref="I11:J11"/>
    <mergeCell ref="C12:D12"/>
    <mergeCell ref="F12:K12"/>
    <mergeCell ref="B13:E13"/>
    <mergeCell ref="J13:K13"/>
    <mergeCell ref="E2:K2"/>
    <mergeCell ref="E3:F3"/>
    <mergeCell ref="G3:H3"/>
    <mergeCell ref="I3:K3"/>
    <mergeCell ref="C6:D6"/>
    <mergeCell ref="F6:K6"/>
    <mergeCell ref="C7:D7"/>
    <mergeCell ref="C8:D8"/>
    <mergeCell ref="C9:D9"/>
    <mergeCell ref="B2:D5"/>
    <mergeCell ref="E4:F5"/>
    <mergeCell ref="G4:H5"/>
    <mergeCell ref="F7:K9"/>
    <mergeCell ref="I4:K5"/>
  </mergeCells>
  <printOptions horizontalCentered="1"/>
  <pageMargins left="0.16" right="0.14000000000000001" top="0.34" bottom="0" header="0.16" footer="0.16"/>
  <pageSetup scale="92" fitToHeight="3" orientation="portrait" r:id="rId1"/>
  <rowBreaks count="2" manualBreakCount="2">
    <brk id="38" max="10" man="1"/>
    <brk id="79" max="10"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8"/>
  <sheetViews>
    <sheetView topLeftCell="A4" zoomScale="70" zoomScaleNormal="70" workbookViewId="0">
      <selection activeCell="B48" sqref="B48"/>
    </sheetView>
  </sheetViews>
  <sheetFormatPr defaultColWidth="9" defaultRowHeight="15"/>
  <cols>
    <col min="1" max="1" width="9.140625" customWidth="1"/>
    <col min="3" max="3" width="16.7109375" customWidth="1"/>
    <col min="4" max="4" width="9.28515625" customWidth="1"/>
    <col min="7" max="7" width="9.5703125" customWidth="1"/>
    <col min="10" max="10" width="11.7109375" customWidth="1"/>
  </cols>
  <sheetData>
    <row r="1" spans="1:13" ht="18.600000000000001" customHeight="1">
      <c r="A1" s="458"/>
      <c r="B1" s="459"/>
      <c r="C1" s="459"/>
      <c r="D1" s="299" t="s">
        <v>50</v>
      </c>
      <c r="E1" s="300"/>
      <c r="F1" s="300"/>
      <c r="G1" s="300"/>
      <c r="H1" s="300"/>
      <c r="I1" s="300"/>
      <c r="J1" s="301"/>
      <c r="K1" s="1"/>
      <c r="L1" s="1"/>
      <c r="M1" s="1"/>
    </row>
    <row r="2" spans="1:13" ht="15" customHeight="1">
      <c r="A2" s="460"/>
      <c r="B2" s="242"/>
      <c r="C2" s="242"/>
      <c r="D2" s="302" t="s">
        <v>2</v>
      </c>
      <c r="E2" s="303"/>
      <c r="F2" s="302" t="s">
        <v>75</v>
      </c>
      <c r="G2" s="303"/>
      <c r="H2" s="302" t="s">
        <v>76</v>
      </c>
      <c r="I2" s="304"/>
      <c r="J2" s="305"/>
      <c r="K2" s="1"/>
      <c r="L2" s="1"/>
      <c r="M2" s="1"/>
    </row>
    <row r="3" spans="1:13" ht="15" customHeight="1">
      <c r="A3" s="460"/>
      <c r="B3" s="242"/>
      <c r="C3" s="242"/>
      <c r="D3" s="461" t="s">
        <v>77</v>
      </c>
      <c r="E3" s="462"/>
      <c r="F3" s="297"/>
      <c r="G3" s="465"/>
      <c r="H3" s="440">
        <v>77861227</v>
      </c>
      <c r="I3" s="468"/>
      <c r="J3" s="469"/>
      <c r="K3" s="1"/>
      <c r="L3" s="1"/>
      <c r="M3" s="1"/>
    </row>
    <row r="4" spans="1:13" ht="6.6" customHeight="1">
      <c r="A4" s="306"/>
      <c r="B4" s="307"/>
      <c r="C4" s="307"/>
      <c r="D4" s="463"/>
      <c r="E4" s="464"/>
      <c r="F4" s="466"/>
      <c r="G4" s="467"/>
      <c r="H4" s="470"/>
      <c r="I4" s="471"/>
      <c r="J4" s="472"/>
      <c r="K4" s="1"/>
      <c r="L4" s="1"/>
      <c r="M4" s="1"/>
    </row>
    <row r="5" spans="1:13" ht="24" customHeight="1">
      <c r="A5" s="2" t="s">
        <v>7</v>
      </c>
      <c r="B5" s="308" t="s">
        <v>78</v>
      </c>
      <c r="C5" s="309"/>
      <c r="D5" s="3" t="s">
        <v>9</v>
      </c>
      <c r="E5" s="310" t="s">
        <v>79</v>
      </c>
      <c r="F5" s="311"/>
      <c r="G5" s="311"/>
      <c r="H5" s="311"/>
      <c r="I5" s="311"/>
      <c r="J5" s="312"/>
      <c r="K5" s="1"/>
      <c r="L5" s="1"/>
      <c r="M5" s="1"/>
    </row>
    <row r="6" spans="1:13" ht="20.45" customHeight="1">
      <c r="A6" s="2" t="s">
        <v>80</v>
      </c>
      <c r="B6" s="117"/>
      <c r="C6" s="117"/>
      <c r="D6" s="391" t="s">
        <v>12</v>
      </c>
      <c r="E6" s="473" t="s">
        <v>81</v>
      </c>
      <c r="F6" s="473"/>
      <c r="G6" s="473"/>
      <c r="H6" s="473"/>
      <c r="I6" s="473"/>
      <c r="J6" s="474"/>
      <c r="K6" s="1"/>
      <c r="L6" s="1"/>
      <c r="M6" s="1"/>
    </row>
    <row r="7" spans="1:13" ht="28.15" customHeight="1">
      <c r="A7" s="387" t="s">
        <v>14</v>
      </c>
      <c r="B7" s="475" t="s">
        <v>82</v>
      </c>
      <c r="C7" s="476"/>
      <c r="D7" s="392"/>
      <c r="E7" s="473"/>
      <c r="F7" s="473"/>
      <c r="G7" s="473"/>
      <c r="H7" s="473"/>
      <c r="I7" s="473"/>
      <c r="J7" s="474"/>
      <c r="K7" s="1"/>
      <c r="L7" s="1"/>
      <c r="M7" s="1"/>
    </row>
    <row r="8" spans="1:13" ht="13.15" customHeight="1">
      <c r="A8" s="388"/>
      <c r="B8" s="477"/>
      <c r="C8" s="478"/>
      <c r="D8" s="393"/>
      <c r="E8" s="473"/>
      <c r="F8" s="473"/>
      <c r="G8" s="473"/>
      <c r="H8" s="473"/>
      <c r="I8" s="473"/>
      <c r="J8" s="474"/>
      <c r="K8" s="1"/>
      <c r="L8" s="1"/>
      <c r="M8" s="1"/>
    </row>
    <row r="9" spans="1:13" ht="24.6" customHeight="1">
      <c r="A9" s="2" t="s">
        <v>83</v>
      </c>
      <c r="B9" s="308" t="s">
        <v>84</v>
      </c>
      <c r="C9" s="309"/>
      <c r="D9" s="3" t="s">
        <v>18</v>
      </c>
      <c r="E9" s="313" t="s">
        <v>85</v>
      </c>
      <c r="F9" s="314"/>
      <c r="G9" s="314"/>
      <c r="H9" s="314"/>
      <c r="I9" s="314"/>
      <c r="J9" s="315"/>
      <c r="K9" s="1"/>
      <c r="L9" s="1"/>
      <c r="M9" s="1"/>
    </row>
    <row r="10" spans="1:13" ht="25.9" customHeight="1">
      <c r="A10" s="2" t="s">
        <v>22</v>
      </c>
      <c r="B10" s="308" t="s">
        <v>86</v>
      </c>
      <c r="C10" s="309"/>
      <c r="D10" s="3" t="s">
        <v>22</v>
      </c>
      <c r="E10" s="316" t="str">
        <f>D3</f>
        <v>ITALY</v>
      </c>
      <c r="F10" s="317"/>
      <c r="G10" s="318"/>
      <c r="H10" s="4" t="s">
        <v>87</v>
      </c>
      <c r="I10" s="319">
        <v>53011</v>
      </c>
      <c r="J10" s="320"/>
      <c r="K10" s="1"/>
      <c r="L10" s="1"/>
      <c r="M10" s="1"/>
    </row>
    <row r="11" spans="1:13" ht="21" customHeight="1">
      <c r="A11" s="5" t="s">
        <v>88</v>
      </c>
      <c r="B11" s="308" t="s">
        <v>89</v>
      </c>
      <c r="C11" s="309"/>
      <c r="D11" s="3" t="s">
        <v>88</v>
      </c>
      <c r="E11" s="321" t="s">
        <v>90</v>
      </c>
      <c r="F11" s="322"/>
      <c r="G11" s="322"/>
      <c r="H11" s="322"/>
      <c r="I11" s="322"/>
      <c r="J11" s="323"/>
      <c r="K11" s="1"/>
      <c r="L11" s="1"/>
      <c r="M11" s="1"/>
    </row>
    <row r="12" spans="1:13" ht="31.9" customHeight="1">
      <c r="A12" s="324" t="s">
        <v>54</v>
      </c>
      <c r="B12" s="325"/>
      <c r="C12" s="325"/>
      <c r="D12" s="326"/>
      <c r="E12" s="446" t="s">
        <v>27</v>
      </c>
      <c r="F12" s="447"/>
      <c r="G12" s="6" t="s">
        <v>91</v>
      </c>
      <c r="H12" s="7" t="s">
        <v>29</v>
      </c>
      <c r="I12" s="302" t="s">
        <v>30</v>
      </c>
      <c r="J12" s="305"/>
      <c r="K12" s="1"/>
      <c r="L12" s="1"/>
      <c r="M12" s="1"/>
    </row>
    <row r="13" spans="1:13" ht="24.6" customHeight="1">
      <c r="A13" s="450" t="s">
        <v>92</v>
      </c>
      <c r="B13" s="451"/>
      <c r="C13" s="8" t="s">
        <v>32</v>
      </c>
      <c r="D13" s="394" t="s">
        <v>93</v>
      </c>
      <c r="E13" s="448"/>
      <c r="F13" s="449"/>
      <c r="G13" s="399"/>
      <c r="H13" s="403">
        <v>1</v>
      </c>
      <c r="I13" s="454">
        <v>0.5</v>
      </c>
      <c r="J13" s="455"/>
      <c r="K13" s="1"/>
      <c r="L13" s="1"/>
      <c r="M13" s="1"/>
    </row>
    <row r="14" spans="1:13" ht="15" customHeight="1">
      <c r="A14" s="452"/>
      <c r="B14" s="453"/>
      <c r="C14" s="9">
        <v>44840</v>
      </c>
      <c r="D14" s="395"/>
      <c r="E14" s="327" t="s">
        <v>94</v>
      </c>
      <c r="F14" s="328"/>
      <c r="G14" s="400"/>
      <c r="H14" s="404"/>
      <c r="I14" s="456"/>
      <c r="J14" s="457"/>
      <c r="K14" s="1"/>
      <c r="L14" s="1"/>
      <c r="M14" s="1"/>
    </row>
    <row r="15" spans="1:13" ht="31.15" customHeight="1">
      <c r="A15" s="329" t="s">
        <v>43</v>
      </c>
      <c r="B15" s="330"/>
      <c r="C15" s="330"/>
      <c r="D15" s="330"/>
      <c r="E15" s="330"/>
      <c r="F15" s="330"/>
      <c r="G15" s="330"/>
      <c r="H15" s="330"/>
      <c r="I15" s="330"/>
      <c r="J15" s="331"/>
      <c r="K15" s="1"/>
      <c r="L15" s="1"/>
      <c r="M15" s="1"/>
    </row>
    <row r="16" spans="1:13" ht="31.15" customHeight="1">
      <c r="A16" s="332" t="s">
        <v>56</v>
      </c>
      <c r="B16" s="333"/>
      <c r="C16" s="333"/>
      <c r="D16" s="333"/>
      <c r="E16" s="333"/>
      <c r="F16" s="333"/>
      <c r="G16" s="333"/>
      <c r="H16" s="333"/>
      <c r="I16" s="333"/>
      <c r="J16" s="334"/>
      <c r="K16" s="1"/>
      <c r="L16" s="1"/>
      <c r="M16" s="1"/>
    </row>
    <row r="17" spans="1:14" ht="19.149999999999999" customHeight="1">
      <c r="A17" s="335" t="s">
        <v>95</v>
      </c>
      <c r="B17" s="119"/>
      <c r="C17" s="119"/>
      <c r="D17" s="119"/>
      <c r="E17" s="119"/>
      <c r="F17" s="336"/>
      <c r="G17" s="10" t="s">
        <v>59</v>
      </c>
      <c r="H17" s="337" t="s">
        <v>96</v>
      </c>
      <c r="I17" s="337"/>
      <c r="J17" s="338"/>
      <c r="K17" s="1"/>
      <c r="L17" s="1"/>
      <c r="M17" s="1"/>
    </row>
    <row r="18" spans="1:14" ht="15" customHeight="1">
      <c r="A18" s="339" t="s">
        <v>97</v>
      </c>
      <c r="B18" s="340"/>
      <c r="C18" s="340"/>
      <c r="D18" s="340"/>
      <c r="E18" s="340"/>
      <c r="F18" s="340"/>
      <c r="G18" s="340"/>
      <c r="H18" s="340"/>
      <c r="I18" s="340"/>
      <c r="J18" s="341"/>
      <c r="K18" s="1"/>
      <c r="L18" s="1"/>
      <c r="M18" s="1"/>
    </row>
    <row r="19" spans="1:14" ht="3" customHeight="1">
      <c r="A19" s="11"/>
      <c r="B19" s="12"/>
      <c r="C19" s="12"/>
      <c r="D19" s="12"/>
      <c r="E19" s="12"/>
      <c r="F19" s="12"/>
      <c r="G19" s="12"/>
      <c r="H19" s="12"/>
      <c r="I19" s="12"/>
      <c r="J19" s="13"/>
      <c r="K19" s="1"/>
      <c r="L19" s="1"/>
      <c r="M19" s="1"/>
    </row>
    <row r="20" spans="1:14" ht="11.45" customHeight="1">
      <c r="A20" s="14"/>
      <c r="B20" s="15"/>
      <c r="C20" s="15"/>
      <c r="D20" s="15"/>
      <c r="E20" s="15"/>
      <c r="F20" s="15"/>
      <c r="G20" s="15"/>
      <c r="H20" s="15"/>
      <c r="I20" s="15"/>
      <c r="J20" s="16"/>
      <c r="K20" s="1"/>
      <c r="L20" s="1"/>
      <c r="M20" s="1"/>
    </row>
    <row r="21" spans="1:14" ht="19.149999999999999" customHeight="1">
      <c r="A21" s="432"/>
      <c r="B21" s="433"/>
      <c r="C21" s="433"/>
      <c r="D21" s="342" t="s">
        <v>98</v>
      </c>
      <c r="E21" s="343"/>
      <c r="F21" s="343"/>
      <c r="G21" s="343"/>
      <c r="H21" s="343"/>
      <c r="I21" s="343"/>
      <c r="J21" s="344"/>
      <c r="K21" s="1"/>
      <c r="L21" s="1"/>
      <c r="M21" s="1"/>
    </row>
    <row r="22" spans="1:14" ht="15" customHeight="1">
      <c r="A22" s="434"/>
      <c r="B22" s="237"/>
      <c r="C22" s="237"/>
      <c r="D22" s="345" t="s">
        <v>2</v>
      </c>
      <c r="E22" s="345"/>
      <c r="F22" s="345" t="s">
        <v>75</v>
      </c>
      <c r="G22" s="345"/>
      <c r="H22" s="345" t="s">
        <v>99</v>
      </c>
      <c r="I22" s="345"/>
      <c r="J22" s="346"/>
      <c r="K22" s="1"/>
      <c r="L22" s="1"/>
      <c r="M22" s="1"/>
    </row>
    <row r="23" spans="1:14" ht="20.45" customHeight="1">
      <c r="A23" s="434"/>
      <c r="B23" s="237"/>
      <c r="C23" s="237"/>
      <c r="D23" s="435" t="str">
        <f>D3</f>
        <v>ITALY</v>
      </c>
      <c r="E23" s="436"/>
      <c r="F23" s="239"/>
      <c r="G23" s="436"/>
      <c r="H23" s="440">
        <f>H3</f>
        <v>77861227</v>
      </c>
      <c r="I23" s="441"/>
      <c r="J23" s="442"/>
      <c r="K23" s="1"/>
      <c r="L23" s="1"/>
      <c r="M23" s="1"/>
    </row>
    <row r="24" spans="1:14" ht="0.6" customHeight="1">
      <c r="A24" s="347"/>
      <c r="B24" s="348"/>
      <c r="C24" s="348"/>
      <c r="D24" s="437"/>
      <c r="E24" s="438"/>
      <c r="F24" s="439"/>
      <c r="G24" s="438"/>
      <c r="H24" s="443"/>
      <c r="I24" s="444"/>
      <c r="J24" s="445"/>
      <c r="K24" s="1"/>
      <c r="L24" s="1"/>
      <c r="M24" s="1"/>
    </row>
    <row r="25" spans="1:14" ht="25.9" customHeight="1">
      <c r="A25" s="17" t="s">
        <v>7</v>
      </c>
      <c r="B25" s="349" t="str">
        <f>B5</f>
        <v>HASSAN AFZAL</v>
      </c>
      <c r="C25" s="349"/>
      <c r="D25" s="18" t="s">
        <v>9</v>
      </c>
      <c r="E25" s="350" t="str">
        <f>E5</f>
        <v>SHAKEEL AHMED</v>
      </c>
      <c r="F25" s="351"/>
      <c r="G25" s="351"/>
      <c r="H25" s="351"/>
      <c r="I25" s="351"/>
      <c r="J25" s="352"/>
      <c r="K25" s="1"/>
      <c r="L25" s="1"/>
      <c r="M25" s="1"/>
    </row>
    <row r="26" spans="1:14" ht="15" customHeight="1">
      <c r="A26" s="19" t="s">
        <v>100</v>
      </c>
      <c r="B26" s="349">
        <f>B6</f>
        <v>0</v>
      </c>
      <c r="C26" s="349"/>
      <c r="D26" s="396" t="s">
        <v>12</v>
      </c>
      <c r="E26" s="423" t="str">
        <f>E6</f>
        <v>VIA FERRUCCIO NO 62 SIENA</v>
      </c>
      <c r="F26" s="424"/>
      <c r="G26" s="424"/>
      <c r="H26" s="424"/>
      <c r="I26" s="424"/>
      <c r="J26" s="425"/>
      <c r="K26" s="1"/>
      <c r="L26" s="1"/>
      <c r="M26" s="1"/>
    </row>
    <row r="27" spans="1:14" ht="15" customHeight="1">
      <c r="A27" s="389" t="s">
        <v>14</v>
      </c>
      <c r="B27" s="407" t="str">
        <f>B7</f>
        <v>P.O WARAICHANWALA DINGA</v>
      </c>
      <c r="C27" s="408"/>
      <c r="D27" s="397"/>
      <c r="E27" s="426"/>
      <c r="F27" s="427"/>
      <c r="G27" s="427"/>
      <c r="H27" s="427"/>
      <c r="I27" s="427"/>
      <c r="J27" s="428"/>
      <c r="K27" s="1"/>
      <c r="L27" s="1"/>
      <c r="M27" s="1"/>
    </row>
    <row r="28" spans="1:14" ht="15" customHeight="1">
      <c r="A28" s="390"/>
      <c r="B28" s="409"/>
      <c r="C28" s="410"/>
      <c r="D28" s="398"/>
      <c r="E28" s="429"/>
      <c r="F28" s="430"/>
      <c r="G28" s="430"/>
      <c r="H28" s="430"/>
      <c r="I28" s="430"/>
      <c r="J28" s="431"/>
      <c r="K28" s="1"/>
      <c r="L28" s="1"/>
      <c r="M28" s="1"/>
      <c r="N28" s="20"/>
    </row>
    <row r="29" spans="1:14" ht="15" customHeight="1">
      <c r="A29" s="21" t="s">
        <v>83</v>
      </c>
      <c r="B29" s="349" t="str">
        <f>B9</f>
        <v>GUJRAT</v>
      </c>
      <c r="C29" s="349"/>
      <c r="D29" s="18" t="s">
        <v>18</v>
      </c>
      <c r="E29" s="353" t="str">
        <f>E9</f>
        <v>53011 CASTELLINA IN CHIANTI</v>
      </c>
      <c r="F29" s="354"/>
      <c r="G29" s="354"/>
      <c r="H29" s="354"/>
      <c r="I29" s="354"/>
      <c r="J29" s="355"/>
      <c r="K29" s="1"/>
      <c r="L29" s="1"/>
      <c r="M29" s="1"/>
    </row>
    <row r="30" spans="1:14" ht="15" customHeight="1">
      <c r="A30" s="22" t="s">
        <v>22</v>
      </c>
      <c r="B30" s="349" t="str">
        <f>B10</f>
        <v>PAKISTAN</v>
      </c>
      <c r="C30" s="349"/>
      <c r="D30" s="23" t="s">
        <v>22</v>
      </c>
      <c r="E30" s="356" t="str">
        <f>D3</f>
        <v>ITALY</v>
      </c>
      <c r="F30" s="357"/>
      <c r="G30" s="358"/>
      <c r="H30" s="24" t="s">
        <v>101</v>
      </c>
      <c r="I30" s="359">
        <f>I10</f>
        <v>53011</v>
      </c>
      <c r="J30" s="360"/>
      <c r="K30" s="1"/>
      <c r="L30" s="1"/>
      <c r="M30" s="1"/>
    </row>
    <row r="31" spans="1:14" ht="15" customHeight="1">
      <c r="A31" s="17" t="s">
        <v>88</v>
      </c>
      <c r="B31" s="349" t="str">
        <f>B11</f>
        <v>0092-3411001003</v>
      </c>
      <c r="C31" s="349"/>
      <c r="D31" s="25" t="s">
        <v>102</v>
      </c>
      <c r="E31" s="361" t="str">
        <f>E11</f>
        <v>0039-3511876017</v>
      </c>
      <c r="F31" s="362"/>
      <c r="G31" s="362"/>
      <c r="H31" s="362"/>
      <c r="I31" s="362"/>
      <c r="J31" s="363"/>
      <c r="K31" s="1"/>
      <c r="L31" s="1"/>
      <c r="M31" s="1"/>
    </row>
    <row r="32" spans="1:14" ht="31.5">
      <c r="A32" s="364" t="s">
        <v>54</v>
      </c>
      <c r="B32" s="365"/>
      <c r="C32" s="366"/>
      <c r="D32" s="367"/>
      <c r="E32" s="419" t="s">
        <v>27</v>
      </c>
      <c r="F32" s="420"/>
      <c r="G32" s="26" t="s">
        <v>91</v>
      </c>
      <c r="H32" s="24" t="s">
        <v>29</v>
      </c>
      <c r="I32" s="368" t="s">
        <v>30</v>
      </c>
      <c r="J32" s="369"/>
      <c r="K32" s="1"/>
      <c r="L32" s="1"/>
      <c r="M32" s="1"/>
    </row>
    <row r="33" spans="1:13" ht="20.45" customHeight="1">
      <c r="A33" s="411"/>
      <c r="B33" s="412"/>
      <c r="C33" s="27" t="s">
        <v>32</v>
      </c>
      <c r="D33" s="26" t="s">
        <v>33</v>
      </c>
      <c r="E33" s="421"/>
      <c r="F33" s="422"/>
      <c r="G33" s="401">
        <f>G13</f>
        <v>0</v>
      </c>
      <c r="H33" s="405">
        <f>H13</f>
        <v>1</v>
      </c>
      <c r="I33" s="415">
        <f>I13</f>
        <v>0.5</v>
      </c>
      <c r="J33" s="416"/>
      <c r="K33" s="1"/>
      <c r="L33" s="1"/>
      <c r="M33" s="1"/>
    </row>
    <row r="34" spans="1:13" ht="15" customHeight="1">
      <c r="A34" s="413"/>
      <c r="B34" s="414"/>
      <c r="C34" s="28">
        <f>C14</f>
        <v>44840</v>
      </c>
      <c r="D34" s="29" t="s">
        <v>103</v>
      </c>
      <c r="E34" s="370" t="str">
        <f>E14</f>
        <v>DOX</v>
      </c>
      <c r="F34" s="371"/>
      <c r="G34" s="402"/>
      <c r="H34" s="406"/>
      <c r="I34" s="417"/>
      <c r="J34" s="418"/>
      <c r="K34" s="1"/>
      <c r="L34" s="1"/>
      <c r="M34" s="1"/>
    </row>
    <row r="35" spans="1:13" ht="31.5">
      <c r="A35" s="372" t="s">
        <v>43</v>
      </c>
      <c r="B35" s="373"/>
      <c r="C35" s="373"/>
      <c r="D35" s="373"/>
      <c r="E35" s="373"/>
      <c r="F35" s="373"/>
      <c r="G35" s="373"/>
      <c r="H35" s="373"/>
      <c r="I35" s="373"/>
      <c r="J35" s="374"/>
      <c r="K35" s="1"/>
      <c r="L35" s="1"/>
      <c r="M35" s="1"/>
    </row>
    <row r="36" spans="1:13" ht="39.6" customHeight="1">
      <c r="A36" s="375" t="s">
        <v>56</v>
      </c>
      <c r="B36" s="376"/>
      <c r="C36" s="376"/>
      <c r="D36" s="376"/>
      <c r="E36" s="376"/>
      <c r="F36" s="377"/>
      <c r="G36" s="377"/>
      <c r="H36" s="377"/>
      <c r="I36" s="377"/>
      <c r="J36" s="378"/>
      <c r="K36" s="1"/>
      <c r="L36" s="1"/>
      <c r="M36" s="1"/>
    </row>
    <row r="37" spans="1:13" ht="15" customHeight="1">
      <c r="A37" s="30" t="s">
        <v>57</v>
      </c>
      <c r="B37" s="31" t="s">
        <v>104</v>
      </c>
      <c r="C37" s="379" t="s">
        <v>105</v>
      </c>
      <c r="D37" s="379"/>
      <c r="E37" s="379"/>
      <c r="F37" s="32" t="s">
        <v>59</v>
      </c>
      <c r="G37" s="380" t="str">
        <f>H17</f>
        <v>34202-7442937-9</v>
      </c>
      <c r="H37" s="381"/>
      <c r="I37" s="381"/>
      <c r="J37" s="382"/>
      <c r="K37" s="1"/>
      <c r="L37" s="1"/>
      <c r="M37" s="1"/>
    </row>
    <row r="38" spans="1:13" ht="15" customHeight="1">
      <c r="A38" s="383" t="str">
        <f>A18</f>
        <v>Contact No.0319-6261003 Mobile.00923411001003  CALL &amp; WhatsApp     E-mail:dhldinga1@gmail.com</v>
      </c>
      <c r="B38" s="384"/>
      <c r="C38" s="384"/>
      <c r="D38" s="384"/>
      <c r="E38" s="384"/>
      <c r="F38" s="385"/>
      <c r="G38" s="385"/>
      <c r="H38" s="385"/>
      <c r="I38" s="385"/>
      <c r="J38" s="386"/>
      <c r="K38" s="1"/>
      <c r="L38" s="1"/>
      <c r="M38" s="1"/>
    </row>
  </sheetData>
  <mergeCells count="73">
    <mergeCell ref="C37:E37"/>
    <mergeCell ref="G37:J37"/>
    <mergeCell ref="A38:J38"/>
    <mergeCell ref="A7:A8"/>
    <mergeCell ref="A27:A28"/>
    <mergeCell ref="D6:D8"/>
    <mergeCell ref="D13:D14"/>
    <mergeCell ref="D26:D28"/>
    <mergeCell ref="G13:G14"/>
    <mergeCell ref="G33:G34"/>
    <mergeCell ref="H13:H14"/>
    <mergeCell ref="H33:H34"/>
    <mergeCell ref="B27:C28"/>
    <mergeCell ref="A33:B34"/>
    <mergeCell ref="I33:J34"/>
    <mergeCell ref="E32:F33"/>
    <mergeCell ref="A32:D32"/>
    <mergeCell ref="I32:J32"/>
    <mergeCell ref="E34:F34"/>
    <mergeCell ref="A35:J35"/>
    <mergeCell ref="A36:J36"/>
    <mergeCell ref="B30:C30"/>
    <mergeCell ref="E30:G30"/>
    <mergeCell ref="I30:J30"/>
    <mergeCell ref="B31:C31"/>
    <mergeCell ref="E31:J31"/>
    <mergeCell ref="A24:C24"/>
    <mergeCell ref="B25:C25"/>
    <mergeCell ref="E25:J25"/>
    <mergeCell ref="B26:C26"/>
    <mergeCell ref="B29:C29"/>
    <mergeCell ref="E29:J29"/>
    <mergeCell ref="E26:J28"/>
    <mergeCell ref="D23:E24"/>
    <mergeCell ref="F23:G24"/>
    <mergeCell ref="H23:J24"/>
    <mergeCell ref="A17:F17"/>
    <mergeCell ref="H17:J17"/>
    <mergeCell ref="A18:J18"/>
    <mergeCell ref="D21:J21"/>
    <mergeCell ref="D22:E22"/>
    <mergeCell ref="F22:G22"/>
    <mergeCell ref="H22:J22"/>
    <mergeCell ref="A21:C23"/>
    <mergeCell ref="A12:D12"/>
    <mergeCell ref="I12:J12"/>
    <mergeCell ref="E14:F14"/>
    <mergeCell ref="A15:J15"/>
    <mergeCell ref="A16:J16"/>
    <mergeCell ref="E12:F13"/>
    <mergeCell ref="A13:B14"/>
    <mergeCell ref="I13:J14"/>
    <mergeCell ref="B10:C10"/>
    <mergeCell ref="E10:G10"/>
    <mergeCell ref="I10:J10"/>
    <mergeCell ref="B11:C11"/>
    <mergeCell ref="E11:J11"/>
    <mergeCell ref="B5:C5"/>
    <mergeCell ref="E5:J5"/>
    <mergeCell ref="B6:C6"/>
    <mergeCell ref="B9:C9"/>
    <mergeCell ref="E9:J9"/>
    <mergeCell ref="E6:J8"/>
    <mergeCell ref="B7:C8"/>
    <mergeCell ref="D1:J1"/>
    <mergeCell ref="D2:E2"/>
    <mergeCell ref="F2:G2"/>
    <mergeCell ref="H2:J2"/>
    <mergeCell ref="A4:C4"/>
    <mergeCell ref="A1:C3"/>
    <mergeCell ref="D3:E4"/>
    <mergeCell ref="F3:G4"/>
    <mergeCell ref="H3:J4"/>
  </mergeCells>
  <pageMargins left="0.26" right="0.23" top="0.22" bottom="0.22" header="0.16" footer="0.18"/>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PROFARMA</vt:lpstr>
      <vt:lpstr>BOOKING </vt:lpstr>
      <vt:lpstr>PROFARMA!Print_Area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gtvgujrat</dc:creator>
  <cp:lastModifiedBy>Perfect computers</cp:lastModifiedBy>
  <cp:lastPrinted>2026-07-21T15:12:47Z</cp:lastPrinted>
  <dcterms:created xsi:type="dcterms:W3CDTF">2015-08-18T16:48:00Z</dcterms:created>
  <dcterms:modified xsi:type="dcterms:W3CDTF">2026-07-21T15:12:56Z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C5B40262AF4A403A81434D03FD2BFAB1_12</vt:lpwstr>
  </property>
  <property fmtid="{D5CDD505-2E9C-101B-9397-08002B2CF9AE}" pid="3" name="KSOProductBuildVer">
    <vt:lpwstr>1033-12.1.0.27458</vt:lpwstr>
  </property>
  <property fmtid="{D5CDD505-2E9C-101B-9397-08002B2CF9AE}" pid="4" name="CalculationRule">
    <vt:i4>0</vt:i4>
  </property>
</Properties>
</file>